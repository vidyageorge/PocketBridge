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P-01" sheetId="1" r:id="rId1"/>
    <sheet name="P-02" sheetId="2" r:id="rId2"/>
    <sheet name="P-03" sheetId="3" r:id="rId3"/>
    <sheet name="P-04" sheetId="4" r:id="rId4"/>
  </sheets>
  <calcPr calcId="152511"/>
</workbook>
</file>

<file path=xl/calcChain.xml><?xml version="1.0" encoding="utf-8"?>
<calcChain xmlns="http://schemas.openxmlformats.org/spreadsheetml/2006/main">
  <c r="D95" i="1" l="1"/>
  <c r="E95" i="1"/>
  <c r="F95" i="1"/>
  <c r="G95" i="1"/>
  <c r="G86" i="1"/>
  <c r="G83" i="1" l="1"/>
  <c r="G84" i="1"/>
  <c r="G85" i="1"/>
  <c r="G87" i="1"/>
  <c r="G88" i="1"/>
  <c r="G89" i="1"/>
  <c r="G90" i="1"/>
  <c r="G91" i="1"/>
  <c r="G92" i="1"/>
  <c r="G93" i="1"/>
  <c r="G81" i="1"/>
  <c r="G80" i="1"/>
  <c r="G79" i="1" l="1"/>
  <c r="G78" i="1" l="1"/>
  <c r="G77" i="1"/>
  <c r="G76" i="1"/>
  <c r="G75" i="1"/>
  <c r="G70" i="1" l="1"/>
  <c r="G71" i="1"/>
  <c r="G72" i="1"/>
  <c r="G73" i="1"/>
  <c r="G74" i="1"/>
  <c r="G69" i="1"/>
  <c r="E31" i="4" l="1"/>
  <c r="F35" i="3"/>
  <c r="G68" i="1"/>
  <c r="G67" i="1"/>
  <c r="E35" i="3" l="1"/>
  <c r="D35" i="3"/>
  <c r="G66" i="1" l="1"/>
  <c r="G61" i="1" l="1"/>
  <c r="G65" i="1"/>
  <c r="G64" i="1"/>
  <c r="G63" i="1"/>
  <c r="G62" i="1"/>
  <c r="G60" i="1" l="1"/>
  <c r="G59" i="1"/>
  <c r="G58" i="1"/>
  <c r="G57" i="1" l="1"/>
  <c r="G55" i="1"/>
  <c r="G56" i="1"/>
  <c r="G54" i="1"/>
  <c r="G50" i="1"/>
  <c r="G51" i="1" l="1"/>
  <c r="G53" i="1"/>
  <c r="G52" i="1"/>
  <c r="F24" i="3" l="1"/>
  <c r="F27" i="3"/>
  <c r="G49" i="1" l="1"/>
  <c r="G48" i="1"/>
  <c r="G47" i="1" l="1"/>
  <c r="G44" i="1" l="1"/>
  <c r="G43" i="1"/>
  <c r="G42" i="1"/>
  <c r="G41" i="1"/>
  <c r="G39" i="1"/>
  <c r="G40" i="1"/>
  <c r="G38" i="1"/>
  <c r="G37" i="1"/>
  <c r="K97" i="1" l="1"/>
  <c r="K99" i="1" s="1"/>
  <c r="F18" i="3" l="1"/>
  <c r="F16" i="3"/>
  <c r="F10" i="3"/>
  <c r="D102" i="2" l="1"/>
  <c r="E97" i="1" l="1"/>
  <c r="E100" i="1" s="1"/>
  <c r="D31" i="4" l="1"/>
  <c r="F27" i="4"/>
  <c r="F24" i="4"/>
  <c r="F31" i="4"/>
  <c r="E33" i="4" l="1"/>
  <c r="E37" i="3"/>
  <c r="F20" i="3" l="1"/>
  <c r="G27" i="1"/>
  <c r="G24" i="1"/>
  <c r="G20" i="1"/>
  <c r="G18" i="1"/>
  <c r="G16" i="1"/>
  <c r="G10" i="1"/>
  <c r="D106" i="2"/>
  <c r="D107" i="2" l="1"/>
</calcChain>
</file>

<file path=xl/sharedStrings.xml><?xml version="1.0" encoding="utf-8"?>
<sst xmlns="http://schemas.openxmlformats.org/spreadsheetml/2006/main" count="328" uniqueCount="210">
  <si>
    <t xml:space="preserve">PROJECT CODE # - </t>
  </si>
  <si>
    <t>P01/24-06</t>
  </si>
  <si>
    <t>PROJECT NAME: CONSTRUCTION OF G+3 VILLA PROJECT @ B-BLOCK ANNA NAGAR EAST</t>
  </si>
  <si>
    <t>CLIENT : MR.ANANDARAMAN.K</t>
  </si>
  <si>
    <t>SNO</t>
  </si>
  <si>
    <t>DATE</t>
  </si>
  <si>
    <t xml:space="preserve">DESCRIPTION </t>
  </si>
  <si>
    <t>P02/24-06</t>
  </si>
  <si>
    <t>PROJECT NAME: CONSTRUCTION OF G+2 VILLA PROJECT @ AVADI (SAMIRA LAYOUT)</t>
  </si>
  <si>
    <t xml:space="preserve">CLIENT : MR.SABARISH SWAMINATHAN </t>
  </si>
  <si>
    <t xml:space="preserve">SUMMARY- PAYMENT RECEIVED </t>
  </si>
  <si>
    <t>AMOUNT</t>
  </si>
  <si>
    <t xml:space="preserve">Soil Test Advance </t>
  </si>
  <si>
    <t xml:space="preserve">Soil Test Part Payment </t>
  </si>
  <si>
    <t xml:space="preserve">Soil Test Final Payment </t>
  </si>
  <si>
    <t xml:space="preserve">Total Amount </t>
  </si>
  <si>
    <t>Order Confirmation -Token Advance -Cheque</t>
  </si>
  <si>
    <t xml:space="preserve">Advance paid to account transfer </t>
  </si>
  <si>
    <t xml:space="preserve">Remarks </t>
  </si>
  <si>
    <t xml:space="preserve">client has asked no to consider in our payment, Let it be as he paid for the first work executed  </t>
  </si>
  <si>
    <t>Payment - for Elevation 3D</t>
  </si>
  <si>
    <t xml:space="preserve">Payment - Made to piggot </t>
  </si>
  <si>
    <t>Advance paid to account transfer (test)</t>
  </si>
  <si>
    <t>BANKING</t>
  </si>
  <si>
    <t>CASH</t>
  </si>
  <si>
    <t>Total Received</t>
  </si>
  <si>
    <t>Payment - Made to Sivalingam</t>
  </si>
  <si>
    <t xml:space="preserve">Initial advacne on pooja date </t>
  </si>
  <si>
    <t xml:space="preserve">Total Received </t>
  </si>
  <si>
    <t xml:space="preserve">Payment - Made to Rajesh </t>
  </si>
  <si>
    <t>(cement )</t>
  </si>
  <si>
    <t xml:space="preserve">Payment - Made to Ramesh Masthri </t>
  </si>
  <si>
    <t>(Labor Payment)</t>
  </si>
  <si>
    <t>Payment - Made to Domnic</t>
  </si>
  <si>
    <t>salary</t>
  </si>
  <si>
    <t xml:space="preserve">Payment - Made to Company Account </t>
  </si>
  <si>
    <t xml:space="preserve">Power 4 Ever to cubits Accounts </t>
  </si>
  <si>
    <t xml:space="preserve">Payment - Made to Vinoth As cash </t>
  </si>
  <si>
    <t>Payment - Made to Vinoth As cash -in college</t>
  </si>
  <si>
    <t>Payment - Made to Vinoth As cash -ramachandra (40+20+20)</t>
  </si>
  <si>
    <t>Payment - Made to Vinoth As cash -sangeeta restarunt(50+20)</t>
  </si>
  <si>
    <t xml:space="preserve">Payment - Made to Nikitha Mithra for Bricks </t>
  </si>
  <si>
    <t>Payment - Made to Mari Muthu Account payee</t>
  </si>
  <si>
    <t>Payment - Made to piggot GPAY</t>
  </si>
  <si>
    <t>Payment - Made to VINOTH GPAY</t>
  </si>
  <si>
    <t>Salary</t>
  </si>
  <si>
    <t>Payment - Made to SURYA PRAKESH</t>
  </si>
  <si>
    <t>BRICK</t>
  </si>
  <si>
    <t xml:space="preserve">Payment - Made to Piggot </t>
  </si>
  <si>
    <t>Payment - Made to VINOTH CASH (BP Pump)</t>
  </si>
  <si>
    <t xml:space="preserve">Received </t>
  </si>
  <si>
    <t xml:space="preserve">Balance </t>
  </si>
  <si>
    <t>Nig</t>
  </si>
  <si>
    <t xml:space="preserve">suresh filling annanagar </t>
  </si>
  <si>
    <t xml:space="preserve">Payment - Made to Suresh </t>
  </si>
  <si>
    <t>Payment - Made to Manai Sadayappan (sand fill) gpay</t>
  </si>
  <si>
    <t>(sand fill)</t>
  </si>
  <si>
    <t>Payment - Made to Manai Sadayappan Gpay</t>
  </si>
  <si>
    <t>Payment Received @ Aynavaram Home</t>
  </si>
  <si>
    <t>Online Transfer  to cubits account &amp; at Office Egmore</t>
  </si>
  <si>
    <t>Contract signed and Advance paid as cash Office Egmore</t>
  </si>
  <si>
    <t>Received At Site From Solomon</t>
  </si>
  <si>
    <t>Payment - Made to VINOTH As Cash (Commerzone)</t>
  </si>
  <si>
    <t>(Petty cash )</t>
  </si>
  <si>
    <t xml:space="preserve">Hospital </t>
  </si>
  <si>
    <t xml:space="preserve">Advance </t>
  </si>
  <si>
    <t>Payment - Made to Yuvaraj Gpay</t>
  </si>
  <si>
    <t>Payment - Made to Joachim Gpay</t>
  </si>
  <si>
    <t>Payment - Made to Pusparaj Electriction Gpay</t>
  </si>
  <si>
    <t xml:space="preserve">Payment - Made to Sakthi Depot </t>
  </si>
  <si>
    <t xml:space="preserve">Payment - Made to Elumalai JanaikiRaman </t>
  </si>
  <si>
    <t xml:space="preserve">Brick Anna nagar </t>
  </si>
  <si>
    <t xml:space="preserve">Brick avadi </t>
  </si>
  <si>
    <t>03/10</t>
  </si>
  <si>
    <t>03/9</t>
  </si>
  <si>
    <t>Inv-No</t>
  </si>
  <si>
    <t xml:space="preserve">Date </t>
  </si>
  <si>
    <t>01/07</t>
  </si>
  <si>
    <t>12/06</t>
  </si>
  <si>
    <t>Cash Given to Vinoth at Egmore Office</t>
  </si>
  <si>
    <t>12/04&amp;05</t>
  </si>
  <si>
    <t>Payment - Made to Rochelle Gpay</t>
  </si>
  <si>
    <t xml:space="preserve">for anna nagar petty cash for fencing </t>
  </si>
  <si>
    <t>Payment - Made to Mani R Gpay - for 10,190 bricks</t>
  </si>
  <si>
    <t>bricks for avadi</t>
  </si>
  <si>
    <t>petty cash</t>
  </si>
  <si>
    <t xml:space="preserve">brick.anna nagar </t>
  </si>
  <si>
    <t>Cash Given to Domnic Christofer</t>
  </si>
  <si>
    <t>Cash Given to Domnic Christofer @ Egmore Office</t>
  </si>
  <si>
    <t>C.card bill</t>
  </si>
  <si>
    <t>Payment - Made to Surya Hardwares GPAY</t>
  </si>
  <si>
    <t xml:space="preserve">cement </t>
  </si>
  <si>
    <t xml:space="preserve">Isteel </t>
  </si>
  <si>
    <t>brick avadi</t>
  </si>
  <si>
    <t>Payment - Made to Sri ambigai Hardwares</t>
  </si>
  <si>
    <t>Payment - Made to Lokesh &amp; vinayagam</t>
  </si>
  <si>
    <t>Payment - Made to PJ Mani Gpay</t>
  </si>
  <si>
    <t>advance</t>
  </si>
  <si>
    <t>sand and aggregate</t>
  </si>
  <si>
    <t xml:space="preserve">FOR sriram hardware steel payment </t>
  </si>
  <si>
    <t xml:space="preserve">FOR sriram hardware steel payment &amp; cement </t>
  </si>
  <si>
    <t xml:space="preserve">Comment </t>
  </si>
  <si>
    <t>1.5 lac excess payment made</t>
  </si>
  <si>
    <t>Value</t>
  </si>
  <si>
    <t xml:space="preserve">Cash Received From Solomon from site </t>
  </si>
  <si>
    <t>Inv-04-01</t>
  </si>
  <si>
    <t>Inv-04-02</t>
  </si>
  <si>
    <t>P03/25-06</t>
  </si>
  <si>
    <t>PROJECT NAME: CONSTRUCTION OF G+2 VILLA PROJECT @ PALAVARAM</t>
  </si>
  <si>
    <t xml:space="preserve">Order Confirmation -Token Advance </t>
  </si>
  <si>
    <t>CLIENT : MR.MURUGAN (MEGA SOLOR SOULTION)</t>
  </si>
  <si>
    <t xml:space="preserve">for Msand Avadi and Annanagar </t>
  </si>
  <si>
    <t>Payment - Made to Pandian Gpay</t>
  </si>
  <si>
    <t>Payment - Made to vinoth CASH (DLF)</t>
  </si>
  <si>
    <t>Cash Given to Vinoth at Site during concrete</t>
  </si>
  <si>
    <t xml:space="preserve">After mobilisation </t>
  </si>
  <si>
    <t>basment</t>
  </si>
  <si>
    <t>25-26-07/03</t>
  </si>
  <si>
    <t>Cash Given to yuviraj  at Site by soloman</t>
  </si>
  <si>
    <t>7a</t>
  </si>
  <si>
    <t xml:space="preserve">Medtech to sixty cubits account </t>
  </si>
  <si>
    <t>Sinewaves to Sixtycubits account</t>
  </si>
  <si>
    <t>Cash Given to Vinoth at Site by Anandaraman</t>
  </si>
  <si>
    <t xml:space="preserve">TDS Deducted </t>
  </si>
  <si>
    <t xml:space="preserve"> Received</t>
  </si>
  <si>
    <t>25-26-07/04</t>
  </si>
  <si>
    <t xml:space="preserve">Cash paid to Vinoth at site </t>
  </si>
  <si>
    <t>CLIENT : MRS.G.SELVI</t>
  </si>
  <si>
    <t>P04/25-10</t>
  </si>
  <si>
    <t>Advance Payment Received at St.Mathias Church</t>
  </si>
  <si>
    <t>PROJECT NAME: CONSTRUCTION OF Ground floor Flat @ Saligramam</t>
  </si>
  <si>
    <t>Payment - Made to vinoth near dlf</t>
  </si>
  <si>
    <t>Upvc Payment Robert</t>
  </si>
  <si>
    <t xml:space="preserve">Maindoor Advance </t>
  </si>
  <si>
    <t>Cash Given to Vinoth at site</t>
  </si>
  <si>
    <t>haritha given cash to vinoth at site</t>
  </si>
  <si>
    <t xml:space="preserve">Paid for lock </t>
  </si>
  <si>
    <t>Sabarish given cash to vinoth at site</t>
  </si>
  <si>
    <t xml:space="preserve">sabarish paid to yuviraj for false celing wiring </t>
  </si>
  <si>
    <t>g pay to yuviraj</t>
  </si>
  <si>
    <t>advance payment to door</t>
  </si>
  <si>
    <t>for anna nagar</t>
  </si>
  <si>
    <t>Bio septic tank</t>
  </si>
  <si>
    <t xml:space="preserve">Granite payment </t>
  </si>
  <si>
    <t>Aac block</t>
  </si>
  <si>
    <t>Door Final Payment</t>
  </si>
  <si>
    <t>lakshmi ceramics</t>
  </si>
  <si>
    <t xml:space="preserve">Transfer to company account for sanitaryware-lakshmi ceramic </t>
  </si>
  <si>
    <t>Cash Given to Yuviraj at site</t>
  </si>
  <si>
    <t>to vinoth Cash</t>
  </si>
  <si>
    <t xml:space="preserve">to Domnic cash </t>
  </si>
  <si>
    <t>Bill Raised-013</t>
  </si>
  <si>
    <t>25-26-07/08</t>
  </si>
  <si>
    <t>Inv 25-26/08</t>
  </si>
  <si>
    <t>Inv 25-26/11</t>
  </si>
  <si>
    <t>25-26-07/11</t>
  </si>
  <si>
    <t xml:space="preserve">Cash paid to domnic at site </t>
  </si>
  <si>
    <t>saravanan gpay</t>
  </si>
  <si>
    <t>velevan gpay</t>
  </si>
  <si>
    <t>Paver block</t>
  </si>
  <si>
    <t>Account Transfer From Personal Account to Sixtycubits</t>
  </si>
  <si>
    <t>Ashok grill</t>
  </si>
  <si>
    <t>Paver block final payment</t>
  </si>
  <si>
    <t>Handrailing advance</t>
  </si>
  <si>
    <t>Handrailing Balcony Glass</t>
  </si>
  <si>
    <t>shell door</t>
  </si>
  <si>
    <t>Inv 25-26/01-12</t>
  </si>
  <si>
    <t>Cash at Tata showroom near site</t>
  </si>
  <si>
    <t>Cash Given to Vinoth at ABM Madhavaram</t>
  </si>
  <si>
    <t>Cash Given to yuviraj At Home</t>
  </si>
  <si>
    <t>G.PAY</t>
  </si>
  <si>
    <t>Gpay to painter -Salary (25+50)</t>
  </si>
  <si>
    <t>Gpay to Saravan Samuel (25+25)</t>
  </si>
  <si>
    <t xml:space="preserve">Payment received at home car parking </t>
  </si>
  <si>
    <t>Gpay to Pushparaj</t>
  </si>
  <si>
    <t xml:space="preserve">Magesh kumar </t>
  </si>
  <si>
    <t xml:space="preserve">New Garuda (wires polycab) 2 bills </t>
  </si>
  <si>
    <t xml:space="preserve">Payment received at client Home </t>
  </si>
  <si>
    <t>Paid to saravanan cash</t>
  </si>
  <si>
    <t>Inv 25-26/03-13</t>
  </si>
  <si>
    <t>Cash Given to Domnic At site</t>
  </si>
  <si>
    <t>Gpay to painter -Salary (30+15)</t>
  </si>
  <si>
    <t>Paid to saravanan cheque</t>
  </si>
  <si>
    <t xml:space="preserve">Gpay to painter -Salary </t>
  </si>
  <si>
    <t xml:space="preserve">New Garuda (wires polycab) </t>
  </si>
  <si>
    <t>Aquant Payment - 17-03 to 20-03-26</t>
  </si>
  <si>
    <t xml:space="preserve">Marble Payment Online To vendor A1-Marbles </t>
  </si>
  <si>
    <t>rahib khan Marble laying</t>
  </si>
  <si>
    <t>Gpay to Tiles Layer baskar</t>
  </si>
  <si>
    <t>cnc works xavier</t>
  </si>
  <si>
    <t>Plumbing pipes Gpay</t>
  </si>
  <si>
    <t xml:space="preserve">Maheshwaran - scaffolding </t>
  </si>
  <si>
    <t xml:space="preserve">Johnsons Tile House </t>
  </si>
  <si>
    <t>Tiles Layers- selvam iyappan</t>
  </si>
  <si>
    <t>Gpay to Saravanan to Labors</t>
  </si>
  <si>
    <t xml:space="preserve">Sun Heart F1 and Common Bath Tiles Payment </t>
  </si>
  <si>
    <t xml:space="preserve">Payment received at client Home -by surya </t>
  </si>
  <si>
    <t xml:space="preserve">cash given to surya </t>
  </si>
  <si>
    <t>From Murugan sir -Client Payment (yuviraj)</t>
  </si>
  <si>
    <t>Inv 26-27/05-1</t>
  </si>
  <si>
    <t xml:space="preserve">Cash Given to Vinoth at site </t>
  </si>
  <si>
    <t>Balaraman ( varnish)</t>
  </si>
  <si>
    <t>Selvam Tiles Payment</t>
  </si>
  <si>
    <t>Rajib Granite Payment</t>
  </si>
  <si>
    <t>Kajaria white cool roof tile</t>
  </si>
  <si>
    <t>A One marble- Kitchen counter top</t>
  </si>
  <si>
    <t>Alex and arms Vetrififed tiles</t>
  </si>
  <si>
    <t>Gpay to Pushparaj 30+45+25</t>
  </si>
  <si>
    <t>Sumith Electrictions 25+45+29.5</t>
  </si>
  <si>
    <t>Gpay to Pushparaj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</si>
</sst>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3D59"/>
        <bgColor indexed="64"/>
      </patternFill>
    </fill>
    <fill>
      <patternFill patternType="solid">
        <fgColor rgb="FFF4B41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43" fontId="0" fillId="0" borderId="1" xfId="1" applyFont="1" applyBorder="1"/>
    <xf numFmtId="0" fontId="2" fillId="0" borderId="1" xfId="0" applyFont="1" applyBorder="1"/>
    <xf numFmtId="43" fontId="2" fillId="0" borderId="1" xfId="1" applyFont="1" applyBorder="1"/>
    <xf numFmtId="14" fontId="2" fillId="0" borderId="1" xfId="0" applyNumberFormat="1" applyFont="1" applyBorder="1"/>
    <xf numFmtId="14" fontId="0" fillId="4" borderId="5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43" fontId="2" fillId="0" borderId="1" xfId="0" applyNumberFormat="1" applyFont="1" applyBorder="1"/>
    <xf numFmtId="43" fontId="0" fillId="4" borderId="1" xfId="1" applyFont="1" applyFill="1" applyBorder="1"/>
    <xf numFmtId="0" fontId="2" fillId="0" borderId="0" xfId="0" applyFont="1" applyAlignment="1">
      <alignment horizontal="center"/>
    </xf>
    <xf numFmtId="43" fontId="2" fillId="0" borderId="0" xfId="0" applyNumberFormat="1" applyFont="1"/>
    <xf numFmtId="0" fontId="3" fillId="2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43" fontId="2" fillId="0" borderId="6" xfId="0" applyNumberFormat="1" applyFont="1" applyBorder="1"/>
    <xf numFmtId="0" fontId="2" fillId="0" borderId="3" xfId="0" applyFont="1" applyBorder="1" applyAlignment="1">
      <alignment horizontal="center"/>
    </xf>
    <xf numFmtId="43" fontId="0" fillId="0" borderId="0" xfId="0" applyNumberFormat="1"/>
    <xf numFmtId="43" fontId="0" fillId="0" borderId="0" xfId="1" applyFont="1"/>
    <xf numFmtId="0" fontId="2" fillId="0" borderId="0" xfId="0" applyFont="1"/>
    <xf numFmtId="16" fontId="0" fillId="0" borderId="0" xfId="0" quotePrefix="1" applyNumberFormat="1"/>
    <xf numFmtId="14" fontId="0" fillId="0" borderId="0" xfId="0" applyNumberFormat="1"/>
    <xf numFmtId="0" fontId="0" fillId="0" borderId="0" xfId="0" quotePrefix="1"/>
    <xf numFmtId="43" fontId="0" fillId="5" borderId="1" xfId="1" applyFont="1" applyFill="1" applyBorder="1"/>
    <xf numFmtId="43" fontId="2" fillId="0" borderId="0" xfId="1" applyFont="1" applyBorder="1"/>
    <xf numFmtId="16" fontId="0" fillId="0" borderId="0" xfId="0" applyNumberFormat="1"/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/>
    <xf numFmtId="0" fontId="0" fillId="6" borderId="1" xfId="0" applyFill="1" applyBorder="1"/>
    <xf numFmtId="43" fontId="0" fillId="6" borderId="1" xfId="1" applyFont="1" applyFill="1" applyBorder="1"/>
    <xf numFmtId="43" fontId="0" fillId="4" borderId="4" xfId="1" applyFont="1" applyFill="1" applyBorder="1"/>
    <xf numFmtId="0" fontId="0" fillId="0" borderId="0" xfId="0" applyBorder="1"/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/>
    <xf numFmtId="0" fontId="0" fillId="0" borderId="1" xfId="0" applyFill="1" applyBorder="1"/>
    <xf numFmtId="43" fontId="0" fillId="0" borderId="1" xfId="1" applyFont="1" applyFill="1" applyBorder="1"/>
    <xf numFmtId="0" fontId="0" fillId="0" borderId="0" xfId="0" applyFill="1"/>
    <xf numFmtId="0" fontId="0" fillId="0" borderId="0" xfId="0" quotePrefix="1" applyFill="1"/>
    <xf numFmtId="16" fontId="0" fillId="0" borderId="0" xfId="0" quotePrefix="1" applyNumberFormat="1" applyFill="1"/>
    <xf numFmtId="16" fontId="0" fillId="0" borderId="0" xfId="0" applyNumberFormat="1" applyFill="1"/>
    <xf numFmtId="0" fontId="3" fillId="2" borderId="0" xfId="0" applyFont="1" applyFill="1" applyBorder="1" applyAlignment="1">
      <alignment vertical="center"/>
    </xf>
    <xf numFmtId="0" fontId="4" fillId="3" borderId="0" xfId="0" applyFont="1" applyFill="1" applyBorder="1" applyAlignment="1"/>
    <xf numFmtId="0" fontId="4" fillId="3" borderId="7" xfId="0" applyFont="1" applyFill="1" applyBorder="1" applyAlignment="1"/>
    <xf numFmtId="0" fontId="4" fillId="3" borderId="2" xfId="0" applyFont="1" applyFill="1" applyBorder="1" applyAlignment="1"/>
    <xf numFmtId="0" fontId="4" fillId="3" borderId="3" xfId="0" applyFont="1" applyFill="1" applyBorder="1" applyAlignment="1"/>
    <xf numFmtId="0" fontId="4" fillId="3" borderId="6" xfId="0" applyFont="1" applyFill="1" applyBorder="1" applyAlignment="1"/>
    <xf numFmtId="16" fontId="0" fillId="0" borderId="0" xfId="0" applyNumberFormat="1" applyBorder="1" applyAlignment="1">
      <alignment horizontal="left"/>
    </xf>
    <xf numFmtId="43" fontId="5" fillId="0" borderId="1" xfId="1" applyFont="1" applyFill="1" applyBorder="1"/>
    <xf numFmtId="0" fontId="2" fillId="0" borderId="10" xfId="0" applyFont="1" applyBorder="1" applyAlignment="1">
      <alignment horizontal="center"/>
    </xf>
    <xf numFmtId="43" fontId="2" fillId="0" borderId="10" xfId="0" applyNumberFormat="1" applyFont="1" applyBorder="1"/>
    <xf numFmtId="16" fontId="0" fillId="0" borderId="0" xfId="0" applyNumberFormat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/>
    <xf numFmtId="43" fontId="0" fillId="7" borderId="1" xfId="1" applyFont="1" applyFill="1" applyBorder="1"/>
    <xf numFmtId="16" fontId="0" fillId="0" borderId="0" xfId="0" applyNumberFormat="1" applyBorder="1" applyAlignment="1">
      <alignment horizontal="left"/>
    </xf>
    <xf numFmtId="0" fontId="2" fillId="0" borderId="9" xfId="0" applyFont="1" applyBorder="1" applyAlignment="1">
      <alignment horizontal="center"/>
    </xf>
    <xf numFmtId="16" fontId="0" fillId="0" borderId="0" xfId="0" applyNumberFormat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43" fontId="0" fillId="6" borderId="7" xfId="1" applyFont="1" applyFill="1" applyBorder="1"/>
    <xf numFmtId="43" fontId="0" fillId="6" borderId="8" xfId="1" applyFont="1" applyFill="1" applyBorder="1"/>
    <xf numFmtId="43" fontId="0" fillId="6" borderId="9" xfId="1" applyFont="1" applyFill="1" applyBorder="1"/>
    <xf numFmtId="43" fontId="0" fillId="4" borderId="7" xfId="1" applyFont="1" applyFill="1" applyBorder="1"/>
    <xf numFmtId="43" fontId="0" fillId="4" borderId="9" xfId="1" applyFont="1" applyFill="1" applyBorder="1"/>
    <xf numFmtId="43" fontId="0" fillId="4" borderId="8" xfId="1" applyFont="1" applyFill="1" applyBorder="1"/>
    <xf numFmtId="43" fontId="0" fillId="0" borderId="8" xfId="1" applyFont="1" applyBorder="1"/>
    <xf numFmtId="43" fontId="0" fillId="0" borderId="9" xfId="1" applyFont="1" applyBorder="1"/>
    <xf numFmtId="0" fontId="0" fillId="6" borderId="7" xfId="0" applyFill="1" applyBorder="1"/>
    <xf numFmtId="43" fontId="0" fillId="0" borderId="7" xfId="1" applyFont="1" applyBorder="1"/>
    <xf numFmtId="43" fontId="2" fillId="0" borderId="0" xfId="0" applyNumberFormat="1" applyFont="1" applyBorder="1"/>
    <xf numFmtId="16" fontId="0" fillId="0" borderId="0" xfId="0" applyNumberFormat="1" applyBorder="1" applyAlignment="1">
      <alignment horizontal="left"/>
    </xf>
    <xf numFmtId="16" fontId="0" fillId="0" borderId="0" xfId="0" applyNumberFormat="1" applyBorder="1" applyAlignment="1">
      <alignment horizontal="left"/>
    </xf>
    <xf numFmtId="16" fontId="0" fillId="0" borderId="0" xfId="0" applyNumberFormat="1" applyBorder="1" applyAlignment="1">
      <alignment horizontal="left"/>
    </xf>
    <xf numFmtId="16" fontId="0" fillId="0" borderId="0" xfId="0" applyNumberFormat="1" applyBorder="1" applyAlignment="1">
      <alignment horizontal="left"/>
    </xf>
    <xf numFmtId="16" fontId="0" fillId="0" borderId="0" xfId="0" applyNumberFormat="1" applyBorder="1" applyAlignment="1">
      <alignment horizontal="left"/>
    </xf>
    <xf numFmtId="43" fontId="0" fillId="6" borderId="7" xfId="1" applyFont="1" applyFill="1" applyBorder="1" applyAlignment="1">
      <alignment horizontal="center"/>
    </xf>
    <xf numFmtId="43" fontId="0" fillId="6" borderId="8" xfId="1" applyFont="1" applyFill="1" applyBorder="1" applyAlignment="1">
      <alignment horizontal="center"/>
    </xf>
    <xf numFmtId="43" fontId="0" fillId="6" borderId="9" xfId="1" applyFont="1" applyFill="1" applyBorder="1" applyAlignment="1">
      <alignment horizontal="center"/>
    </xf>
    <xf numFmtId="43" fontId="0" fillId="0" borderId="7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3" borderId="4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16" fontId="0" fillId="0" borderId="0" xfId="0" applyNumberFormat="1" applyBorder="1" applyAlignment="1">
      <alignment horizontal="left"/>
    </xf>
    <xf numFmtId="43" fontId="0" fillId="6" borderId="7" xfId="1" applyFont="1" applyFill="1" applyBorder="1" applyAlignment="1">
      <alignment horizontal="center" vertical="center"/>
    </xf>
    <xf numFmtId="43" fontId="0" fillId="6" borderId="8" xfId="1" applyFont="1" applyFill="1" applyBorder="1" applyAlignment="1">
      <alignment horizontal="center" vertical="center"/>
    </xf>
    <xf numFmtId="43" fontId="0" fillId="6" borderId="9" xfId="1" applyFont="1" applyFill="1" applyBorder="1" applyAlignment="1">
      <alignment horizontal="center" vertical="center"/>
    </xf>
    <xf numFmtId="43" fontId="0" fillId="4" borderId="7" xfId="1" applyFont="1" applyFill="1" applyBorder="1" applyAlignment="1">
      <alignment horizontal="center" vertical="center"/>
    </xf>
    <xf numFmtId="43" fontId="0" fillId="4" borderId="9" xfId="1" applyFont="1" applyFill="1" applyBorder="1" applyAlignment="1">
      <alignment horizontal="center" vertical="center"/>
    </xf>
    <xf numFmtId="43" fontId="0" fillId="4" borderId="8" xfId="1" applyFont="1" applyFill="1" applyBorder="1" applyAlignment="1">
      <alignment horizontal="center" vertical="center"/>
    </xf>
    <xf numFmtId="43" fontId="0" fillId="6" borderId="7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3" fontId="0" fillId="0" borderId="7" xfId="1" applyFont="1" applyFill="1" applyBorder="1" applyAlignment="1">
      <alignment horizontal="center" vertical="center"/>
    </xf>
    <xf numFmtId="43" fontId="0" fillId="0" borderId="8" xfId="1" applyFont="1" applyFill="1" applyBorder="1" applyAlignment="1">
      <alignment horizontal="center" vertical="center"/>
    </xf>
    <xf numFmtId="43" fontId="0" fillId="0" borderId="9" xfId="1" applyFont="1" applyFill="1" applyBorder="1" applyAlignment="1">
      <alignment horizontal="center" vertical="center"/>
    </xf>
    <xf numFmtId="16" fontId="0" fillId="0" borderId="0" xfId="0" applyNumberFormat="1" applyFill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/>
    </xf>
    <xf numFmtId="43" fontId="2" fillId="0" borderId="7" xfId="1" applyFont="1" applyFill="1" applyBorder="1" applyAlignment="1">
      <alignment horizontal="center" vertical="center"/>
    </xf>
    <xf numFmtId="43" fontId="2" fillId="0" borderId="8" xfId="1" applyFont="1" applyFill="1" applyBorder="1" applyAlignment="1">
      <alignment horizontal="center" vertical="center"/>
    </xf>
    <xf numFmtId="43" fontId="2" fillId="0" borderId="9" xfId="1" applyFont="1" applyFill="1" applyBorder="1" applyAlignment="1">
      <alignment horizontal="center" vertical="center"/>
    </xf>
    <xf numFmtId="43" fontId="0" fillId="0" borderId="7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tabSelected="1" zoomScale="85" zoomScaleNormal="85" workbookViewId="0">
      <pane ySplit="6" topLeftCell="A7" activePane="bottomLeft" state="frozen"/>
      <selection pane="bottomLeft" activeCell="C100" sqref="C100"/>
    </sheetView>
  </sheetViews>
  <sheetFormatPr defaultRowHeight="14.5" x14ac:dyDescent="0.35"/>
  <cols>
    <col min="1" max="1" width="5.26953125" customWidth="1"/>
    <col min="2" max="2" width="10.7265625" customWidth="1"/>
    <col min="3" max="3" width="48" customWidth="1"/>
    <col min="4" max="7" width="16.54296875" customWidth="1"/>
    <col min="8" max="8" width="10.26953125" customWidth="1"/>
    <col min="9" max="9" width="10.90625" customWidth="1"/>
    <col min="10" max="10" width="13.90625" customWidth="1"/>
  </cols>
  <sheetData>
    <row r="1" spans="1:15" ht="21" x14ac:dyDescent="0.35">
      <c r="A1" s="87" t="s">
        <v>10</v>
      </c>
      <c r="B1" s="88"/>
      <c r="C1" s="88"/>
      <c r="D1" s="88"/>
      <c r="E1" s="88"/>
      <c r="F1" s="88"/>
      <c r="G1" s="88"/>
      <c r="K1" s="18"/>
      <c r="L1" s="18"/>
      <c r="M1" s="18"/>
      <c r="N1" s="18"/>
      <c r="O1" s="18"/>
    </row>
    <row r="2" spans="1:15" ht="15.5" x14ac:dyDescent="0.35">
      <c r="A2" s="1" t="s">
        <v>0</v>
      </c>
      <c r="B2" s="1"/>
      <c r="C2" s="91" t="s">
        <v>1</v>
      </c>
      <c r="D2" s="92"/>
      <c r="E2" s="92"/>
      <c r="F2" s="92"/>
      <c r="G2" s="92"/>
    </row>
    <row r="3" spans="1:15" ht="15.5" x14ac:dyDescent="0.35">
      <c r="A3" s="91" t="s">
        <v>2</v>
      </c>
      <c r="B3" s="92"/>
      <c r="C3" s="92"/>
      <c r="D3" s="92"/>
      <c r="E3" s="92"/>
      <c r="F3" s="92"/>
      <c r="G3" s="92"/>
    </row>
    <row r="4" spans="1:15" ht="15.5" x14ac:dyDescent="0.35">
      <c r="A4" s="2" t="s">
        <v>3</v>
      </c>
      <c r="B4" s="2"/>
      <c r="C4" s="2"/>
      <c r="D4" s="12"/>
      <c r="E4" s="2"/>
      <c r="F4" s="64"/>
      <c r="G4" s="93" t="s">
        <v>25</v>
      </c>
    </row>
    <row r="5" spans="1:15" ht="15.5" x14ac:dyDescent="0.35">
      <c r="A5" s="3" t="s">
        <v>4</v>
      </c>
      <c r="B5" s="3" t="s">
        <v>5</v>
      </c>
      <c r="C5" s="3" t="s">
        <v>6</v>
      </c>
      <c r="D5" s="96" t="s">
        <v>11</v>
      </c>
      <c r="E5" s="90"/>
      <c r="F5" s="97"/>
      <c r="G5" s="94"/>
      <c r="H5" s="90" t="s">
        <v>18</v>
      </c>
      <c r="I5" s="90"/>
      <c r="J5" s="90"/>
      <c r="K5" s="90"/>
    </row>
    <row r="6" spans="1:15" ht="18.649999999999999" customHeight="1" x14ac:dyDescent="0.35">
      <c r="A6" s="4"/>
      <c r="B6" s="4"/>
      <c r="C6" s="4"/>
      <c r="D6" s="13" t="s">
        <v>23</v>
      </c>
      <c r="E6" s="13" t="s">
        <v>24</v>
      </c>
      <c r="F6" s="62" t="s">
        <v>170</v>
      </c>
      <c r="G6" s="95"/>
      <c r="H6" t="s">
        <v>75</v>
      </c>
      <c r="I6" t="s">
        <v>76</v>
      </c>
      <c r="J6" t="s">
        <v>103</v>
      </c>
      <c r="K6" t="s">
        <v>101</v>
      </c>
    </row>
    <row r="7" spans="1:15" ht="18.649999999999999" hidden="1" customHeight="1" x14ac:dyDescent="0.35">
      <c r="A7" s="5">
        <v>1</v>
      </c>
      <c r="B7" s="10">
        <v>45504</v>
      </c>
      <c r="C7" s="8" t="s">
        <v>12</v>
      </c>
      <c r="D7" s="7"/>
      <c r="E7" s="15"/>
      <c r="F7" s="36"/>
      <c r="G7" s="36"/>
      <c r="H7" s="89" t="s">
        <v>19</v>
      </c>
      <c r="I7" s="9">
        <v>30000</v>
      </c>
      <c r="J7" s="30"/>
    </row>
    <row r="8" spans="1:15" ht="18.649999999999999" hidden="1" customHeight="1" x14ac:dyDescent="0.35">
      <c r="A8" s="5">
        <v>2</v>
      </c>
      <c r="B8" s="10">
        <v>45507</v>
      </c>
      <c r="C8" s="8" t="s">
        <v>13</v>
      </c>
      <c r="D8" s="7"/>
      <c r="E8" s="15"/>
      <c r="F8" s="36"/>
      <c r="G8" s="36"/>
      <c r="H8" s="89"/>
      <c r="I8" s="9">
        <v>30000</v>
      </c>
      <c r="J8" s="30"/>
    </row>
    <row r="9" spans="1:15" ht="18.649999999999999" hidden="1" customHeight="1" x14ac:dyDescent="0.35">
      <c r="A9" s="5">
        <v>3</v>
      </c>
      <c r="B9" s="10">
        <v>45524</v>
      </c>
      <c r="C9" s="8" t="s">
        <v>14</v>
      </c>
      <c r="D9" s="7"/>
      <c r="E9" s="15"/>
      <c r="F9" s="36"/>
      <c r="G9" s="36"/>
      <c r="H9" s="89"/>
      <c r="I9" s="9">
        <v>10000</v>
      </c>
      <c r="J9" s="30"/>
    </row>
    <row r="10" spans="1:15" x14ac:dyDescent="0.35">
      <c r="A10" s="32">
        <v>1</v>
      </c>
      <c r="B10" s="33">
        <v>45526</v>
      </c>
      <c r="C10" s="34" t="s">
        <v>16</v>
      </c>
      <c r="D10" s="35">
        <v>100000</v>
      </c>
      <c r="E10" s="35"/>
      <c r="F10" s="65"/>
      <c r="G10" s="99">
        <f>SUM(D10:E15)</f>
        <v>2000000</v>
      </c>
    </row>
    <row r="11" spans="1:15" x14ac:dyDescent="0.35">
      <c r="A11" s="32"/>
      <c r="B11" s="33">
        <v>45526</v>
      </c>
      <c r="C11" s="34" t="s">
        <v>22</v>
      </c>
      <c r="D11" s="35">
        <v>1000</v>
      </c>
      <c r="E11" s="35"/>
      <c r="F11" s="66"/>
      <c r="G11" s="100"/>
    </row>
    <row r="12" spans="1:15" x14ac:dyDescent="0.35">
      <c r="A12" s="32"/>
      <c r="B12" s="33">
        <v>45526</v>
      </c>
      <c r="C12" s="34" t="s">
        <v>22</v>
      </c>
      <c r="D12" s="35">
        <v>2000</v>
      </c>
      <c r="E12" s="35"/>
      <c r="F12" s="66"/>
      <c r="G12" s="100"/>
    </row>
    <row r="13" spans="1:15" x14ac:dyDescent="0.35">
      <c r="A13" s="32"/>
      <c r="B13" s="33">
        <v>45560</v>
      </c>
      <c r="C13" s="34" t="s">
        <v>60</v>
      </c>
      <c r="D13" s="35"/>
      <c r="E13" s="35">
        <v>1000000</v>
      </c>
      <c r="F13" s="66"/>
      <c r="G13" s="100"/>
    </row>
    <row r="14" spans="1:15" x14ac:dyDescent="0.35">
      <c r="A14" s="32"/>
      <c r="B14" s="33">
        <v>45560</v>
      </c>
      <c r="C14" s="34" t="s">
        <v>17</v>
      </c>
      <c r="D14" s="35">
        <v>397000</v>
      </c>
      <c r="E14" s="35"/>
      <c r="F14" s="66"/>
      <c r="G14" s="100"/>
    </row>
    <row r="15" spans="1:15" x14ac:dyDescent="0.35">
      <c r="A15" s="32"/>
      <c r="B15" s="33">
        <v>45560</v>
      </c>
      <c r="C15" s="34" t="s">
        <v>17</v>
      </c>
      <c r="D15" s="35">
        <v>500000</v>
      </c>
      <c r="E15" s="35"/>
      <c r="F15" s="67"/>
      <c r="G15" s="101"/>
    </row>
    <row r="16" spans="1:15" x14ac:dyDescent="0.35">
      <c r="A16" s="5">
        <v>2</v>
      </c>
      <c r="B16" s="6">
        <v>45560</v>
      </c>
      <c r="C16" s="4" t="s">
        <v>17</v>
      </c>
      <c r="D16" s="7">
        <v>1000000</v>
      </c>
      <c r="E16" s="15"/>
      <c r="F16" s="68"/>
      <c r="G16" s="102">
        <f>SUM(D16:E17)</f>
        <v>2800000</v>
      </c>
      <c r="H16" s="28" t="s">
        <v>80</v>
      </c>
    </row>
    <row r="17" spans="1:11" x14ac:dyDescent="0.35">
      <c r="A17" s="5"/>
      <c r="B17" s="6">
        <v>45602</v>
      </c>
      <c r="C17" s="4" t="s">
        <v>58</v>
      </c>
      <c r="D17" s="4"/>
      <c r="E17" s="15">
        <v>1800000</v>
      </c>
      <c r="F17" s="69"/>
      <c r="G17" s="103"/>
    </row>
    <row r="18" spans="1:11" x14ac:dyDescent="0.35">
      <c r="A18" s="32">
        <v>3</v>
      </c>
      <c r="B18" s="33">
        <v>45999</v>
      </c>
      <c r="C18" s="34" t="s">
        <v>59</v>
      </c>
      <c r="D18" s="35">
        <v>500000</v>
      </c>
      <c r="E18" s="35">
        <v>1000000</v>
      </c>
      <c r="F18" s="65"/>
      <c r="G18" s="99">
        <f>SUM(D18:E19)</f>
        <v>2500000</v>
      </c>
      <c r="H18" s="28" t="s">
        <v>78</v>
      </c>
      <c r="I18" s="27">
        <v>45657</v>
      </c>
      <c r="J18" s="27"/>
    </row>
    <row r="19" spans="1:11" x14ac:dyDescent="0.35">
      <c r="A19" s="32"/>
      <c r="B19" s="33">
        <v>45671</v>
      </c>
      <c r="C19" s="34" t="s">
        <v>36</v>
      </c>
      <c r="D19" s="35">
        <v>1000000</v>
      </c>
      <c r="E19" s="35"/>
      <c r="F19" s="67"/>
      <c r="G19" s="101"/>
      <c r="H19" s="26" t="s">
        <v>77</v>
      </c>
      <c r="I19" s="27">
        <v>45680</v>
      </c>
      <c r="J19" s="27"/>
      <c r="K19" s="27"/>
    </row>
    <row r="20" spans="1:11" x14ac:dyDescent="0.35">
      <c r="A20" s="5">
        <v>4</v>
      </c>
      <c r="B20" s="6">
        <v>45735</v>
      </c>
      <c r="C20" s="4" t="s">
        <v>17</v>
      </c>
      <c r="D20" s="7">
        <v>500000</v>
      </c>
      <c r="E20" s="15"/>
      <c r="F20" s="68"/>
      <c r="G20" s="102">
        <f>SUM(D20:E23)</f>
        <v>2100000</v>
      </c>
      <c r="H20" s="26" t="s">
        <v>74</v>
      </c>
      <c r="I20" s="27">
        <v>45728</v>
      </c>
      <c r="J20" s="27"/>
    </row>
    <row r="21" spans="1:11" x14ac:dyDescent="0.35">
      <c r="A21" s="5"/>
      <c r="B21" s="6">
        <v>45736</v>
      </c>
      <c r="C21" s="4" t="s">
        <v>17</v>
      </c>
      <c r="D21" s="7">
        <v>500000</v>
      </c>
      <c r="E21" s="15"/>
      <c r="F21" s="70"/>
      <c r="G21" s="104"/>
      <c r="H21" s="26" t="s">
        <v>73</v>
      </c>
      <c r="I21" s="27">
        <v>45733</v>
      </c>
      <c r="J21" s="27"/>
    </row>
    <row r="22" spans="1:11" x14ac:dyDescent="0.35">
      <c r="A22" s="5"/>
      <c r="B22" s="6">
        <v>45736</v>
      </c>
      <c r="C22" s="4" t="s">
        <v>61</v>
      </c>
      <c r="D22" s="7"/>
      <c r="E22" s="7">
        <v>500000</v>
      </c>
      <c r="F22" s="71"/>
      <c r="G22" s="104"/>
    </row>
    <row r="23" spans="1:11" x14ac:dyDescent="0.35">
      <c r="A23" s="5"/>
      <c r="B23" s="6">
        <v>45748</v>
      </c>
      <c r="C23" s="4" t="s">
        <v>79</v>
      </c>
      <c r="D23" s="7"/>
      <c r="E23" s="7">
        <v>600000</v>
      </c>
      <c r="F23" s="72"/>
      <c r="G23" s="103"/>
    </row>
    <row r="24" spans="1:11" x14ac:dyDescent="0.35">
      <c r="A24" s="32">
        <v>5</v>
      </c>
      <c r="B24" s="33">
        <v>45770</v>
      </c>
      <c r="C24" s="34" t="s">
        <v>17</v>
      </c>
      <c r="D24" s="35">
        <v>500000</v>
      </c>
      <c r="E24" s="34"/>
      <c r="F24" s="73"/>
      <c r="G24" s="105">
        <f>SUM(D24:E26)</f>
        <v>2000000</v>
      </c>
      <c r="H24" s="31" t="s">
        <v>105</v>
      </c>
      <c r="I24" s="27">
        <v>45786</v>
      </c>
      <c r="J24" s="24">
        <v>500752</v>
      </c>
    </row>
    <row r="25" spans="1:11" x14ac:dyDescent="0.35">
      <c r="A25" s="32"/>
      <c r="B25" s="33">
        <v>45777</v>
      </c>
      <c r="C25" s="34" t="s">
        <v>87</v>
      </c>
      <c r="D25" s="35"/>
      <c r="E25" s="35">
        <v>1000000</v>
      </c>
      <c r="F25" s="66"/>
      <c r="G25" s="106"/>
    </row>
    <row r="26" spans="1:11" x14ac:dyDescent="0.35">
      <c r="A26" s="32"/>
      <c r="B26" s="33">
        <v>45790</v>
      </c>
      <c r="C26" s="34" t="s">
        <v>88</v>
      </c>
      <c r="D26" s="34"/>
      <c r="E26" s="35">
        <v>500000</v>
      </c>
      <c r="F26" s="67"/>
      <c r="G26" s="107"/>
      <c r="K26" t="s">
        <v>102</v>
      </c>
    </row>
    <row r="27" spans="1:11" x14ac:dyDescent="0.35">
      <c r="A27" s="5">
        <v>6</v>
      </c>
      <c r="B27" s="6">
        <v>45808</v>
      </c>
      <c r="C27" s="4" t="s">
        <v>104</v>
      </c>
      <c r="D27" s="4"/>
      <c r="E27" s="7">
        <v>700000</v>
      </c>
      <c r="F27" s="74"/>
      <c r="G27" s="84">
        <f>SUM(D27:E29)</f>
        <v>1700000</v>
      </c>
    </row>
    <row r="28" spans="1:11" x14ac:dyDescent="0.35">
      <c r="A28" s="5"/>
      <c r="B28" s="6">
        <v>45809</v>
      </c>
      <c r="C28" s="4" t="s">
        <v>17</v>
      </c>
      <c r="D28" s="7">
        <v>500000</v>
      </c>
      <c r="E28" s="7"/>
      <c r="F28" s="71"/>
      <c r="G28" s="85"/>
      <c r="H28" s="98" t="s">
        <v>106</v>
      </c>
    </row>
    <row r="29" spans="1:11" x14ac:dyDescent="0.35">
      <c r="A29" s="5"/>
      <c r="B29" s="6">
        <v>45810</v>
      </c>
      <c r="C29" s="4" t="s">
        <v>17</v>
      </c>
      <c r="D29" s="7">
        <v>500000</v>
      </c>
      <c r="E29" s="7"/>
      <c r="F29" s="72"/>
      <c r="G29" s="86"/>
      <c r="H29" s="98"/>
      <c r="I29" s="27">
        <v>45808</v>
      </c>
      <c r="J29" s="24">
        <v>1000000</v>
      </c>
    </row>
    <row r="30" spans="1:11" x14ac:dyDescent="0.35">
      <c r="A30" s="32">
        <v>7</v>
      </c>
      <c r="B30" s="33">
        <v>45852</v>
      </c>
      <c r="C30" s="34" t="s">
        <v>114</v>
      </c>
      <c r="D30" s="34"/>
      <c r="E30" s="35">
        <v>2000000</v>
      </c>
      <c r="F30" s="35"/>
      <c r="G30" s="81">
        <v>4000000</v>
      </c>
      <c r="H30" s="52"/>
    </row>
    <row r="31" spans="1:11" x14ac:dyDescent="0.35">
      <c r="A31" s="32" t="s">
        <v>119</v>
      </c>
      <c r="B31" s="33">
        <v>45875</v>
      </c>
      <c r="C31" s="34" t="s">
        <v>118</v>
      </c>
      <c r="D31" s="34"/>
      <c r="E31" s="35">
        <v>1000000</v>
      </c>
      <c r="F31" s="35"/>
      <c r="G31" s="82"/>
      <c r="H31" s="52"/>
    </row>
    <row r="32" spans="1:11" x14ac:dyDescent="0.35">
      <c r="A32" s="32"/>
      <c r="B32" s="33">
        <v>45899</v>
      </c>
      <c r="C32" s="34" t="s">
        <v>122</v>
      </c>
      <c r="D32" s="34"/>
      <c r="E32" s="35">
        <v>1000000</v>
      </c>
      <c r="F32" s="35"/>
      <c r="G32" s="83"/>
      <c r="H32" s="52"/>
    </row>
    <row r="33" spans="1:8" x14ac:dyDescent="0.35">
      <c r="A33" s="5">
        <v>8</v>
      </c>
      <c r="B33" s="6">
        <v>45902</v>
      </c>
      <c r="C33" s="4" t="s">
        <v>120</v>
      </c>
      <c r="D33" s="7">
        <v>500000</v>
      </c>
      <c r="E33" s="7"/>
      <c r="F33" s="7"/>
      <c r="G33" s="84">
        <v>1499000</v>
      </c>
      <c r="H33" s="52"/>
    </row>
    <row r="34" spans="1:8" x14ac:dyDescent="0.35">
      <c r="A34" s="5"/>
      <c r="B34" s="6">
        <v>45902</v>
      </c>
      <c r="C34" s="4" t="s">
        <v>121</v>
      </c>
      <c r="D34" s="7">
        <v>3001</v>
      </c>
      <c r="E34" s="7"/>
      <c r="F34" s="7"/>
      <c r="G34" s="85"/>
      <c r="H34" s="52"/>
    </row>
    <row r="35" spans="1:8" x14ac:dyDescent="0.35">
      <c r="A35" s="5"/>
      <c r="B35" s="6">
        <v>45903</v>
      </c>
      <c r="C35" s="4" t="s">
        <v>121</v>
      </c>
      <c r="D35" s="7">
        <v>496999</v>
      </c>
      <c r="E35" s="7"/>
      <c r="F35" s="7"/>
      <c r="G35" s="85"/>
      <c r="H35" s="52"/>
    </row>
    <row r="36" spans="1:8" x14ac:dyDescent="0.35">
      <c r="A36" s="5"/>
      <c r="B36" s="6">
        <v>45903</v>
      </c>
      <c r="C36" s="4" t="s">
        <v>121</v>
      </c>
      <c r="D36" s="7">
        <v>499000</v>
      </c>
      <c r="E36" s="7"/>
      <c r="F36" s="7"/>
      <c r="G36" s="86"/>
      <c r="H36" s="52"/>
    </row>
    <row r="37" spans="1:8" x14ac:dyDescent="0.35">
      <c r="A37" s="32">
        <v>9</v>
      </c>
      <c r="B37" s="33">
        <v>45962</v>
      </c>
      <c r="C37" s="34" t="s">
        <v>134</v>
      </c>
      <c r="D37" s="34"/>
      <c r="E37" s="35">
        <v>2000000</v>
      </c>
      <c r="F37" s="35"/>
      <c r="G37" s="35">
        <f>E37</f>
        <v>2000000</v>
      </c>
      <c r="H37" s="52"/>
    </row>
    <row r="38" spans="1:8" x14ac:dyDescent="0.35">
      <c r="A38" s="5">
        <v>10</v>
      </c>
      <c r="B38" s="6">
        <v>45978</v>
      </c>
      <c r="C38" s="4" t="s">
        <v>148</v>
      </c>
      <c r="D38" s="7"/>
      <c r="E38" s="7">
        <v>1500000</v>
      </c>
      <c r="F38" s="7"/>
      <c r="G38" s="7">
        <f>E38</f>
        <v>1500000</v>
      </c>
      <c r="H38" s="52"/>
    </row>
    <row r="39" spans="1:8" x14ac:dyDescent="0.35">
      <c r="A39" s="58">
        <v>11</v>
      </c>
      <c r="B39" s="59">
        <v>45994</v>
      </c>
      <c r="C39" s="57" t="s">
        <v>160</v>
      </c>
      <c r="D39" s="29">
        <v>1000000</v>
      </c>
      <c r="E39" s="35"/>
      <c r="F39" s="35"/>
      <c r="G39" s="29">
        <f>D39</f>
        <v>1000000</v>
      </c>
      <c r="H39" s="56"/>
    </row>
    <row r="40" spans="1:8" x14ac:dyDescent="0.35">
      <c r="A40" s="5">
        <v>12</v>
      </c>
      <c r="B40" s="6">
        <v>46029</v>
      </c>
      <c r="C40" s="4" t="s">
        <v>134</v>
      </c>
      <c r="D40" s="7"/>
      <c r="E40" s="7">
        <v>2000000</v>
      </c>
      <c r="F40" s="7"/>
      <c r="G40" s="7">
        <f>E40</f>
        <v>2000000</v>
      </c>
      <c r="H40" s="56"/>
    </row>
    <row r="41" spans="1:8" x14ac:dyDescent="0.35">
      <c r="A41" s="32">
        <v>13</v>
      </c>
      <c r="B41" s="33">
        <v>46062</v>
      </c>
      <c r="C41" s="34" t="s">
        <v>168</v>
      </c>
      <c r="D41" s="34"/>
      <c r="E41" s="35">
        <v>1500000</v>
      </c>
      <c r="F41" s="35"/>
      <c r="G41" s="35">
        <f>E41</f>
        <v>1500000</v>
      </c>
      <c r="H41" s="61"/>
    </row>
    <row r="42" spans="1:8" x14ac:dyDescent="0.35">
      <c r="A42" s="5">
        <v>14</v>
      </c>
      <c r="B42" s="6">
        <v>46067</v>
      </c>
      <c r="C42" s="4" t="s">
        <v>169</v>
      </c>
      <c r="D42" s="7"/>
      <c r="E42" s="7">
        <v>2500000</v>
      </c>
      <c r="F42" s="7"/>
      <c r="G42" s="7">
        <f>E42</f>
        <v>2500000</v>
      </c>
      <c r="H42" s="61"/>
    </row>
    <row r="43" spans="1:8" x14ac:dyDescent="0.35">
      <c r="A43" s="32">
        <v>15</v>
      </c>
      <c r="B43" s="33">
        <v>46076</v>
      </c>
      <c r="C43" s="34" t="s">
        <v>171</v>
      </c>
      <c r="D43" s="34"/>
      <c r="E43" s="35"/>
      <c r="F43" s="35">
        <v>75000</v>
      </c>
      <c r="G43" s="35">
        <f>F43</f>
        <v>75000</v>
      </c>
      <c r="H43" s="61"/>
    </row>
    <row r="44" spans="1:8" x14ac:dyDescent="0.35">
      <c r="A44" s="5">
        <v>16</v>
      </c>
      <c r="B44" s="6">
        <v>46079</v>
      </c>
      <c r="C44" s="4" t="s">
        <v>172</v>
      </c>
      <c r="D44" s="7"/>
      <c r="E44" s="7"/>
      <c r="F44" s="7">
        <v>50000</v>
      </c>
      <c r="G44" s="7">
        <f>F44</f>
        <v>50000</v>
      </c>
      <c r="H44" s="56"/>
    </row>
    <row r="45" spans="1:8" x14ac:dyDescent="0.35">
      <c r="A45" s="5">
        <v>17</v>
      </c>
      <c r="B45" s="6">
        <v>46082</v>
      </c>
      <c r="C45" s="4" t="s">
        <v>174</v>
      </c>
      <c r="D45" s="7"/>
      <c r="E45" s="7"/>
      <c r="F45" s="7">
        <v>33000</v>
      </c>
      <c r="G45" s="7">
        <v>33000</v>
      </c>
      <c r="H45" s="63"/>
    </row>
    <row r="46" spans="1:8" x14ac:dyDescent="0.35">
      <c r="A46" s="5">
        <v>18</v>
      </c>
      <c r="B46" s="6">
        <v>46084</v>
      </c>
      <c r="C46" s="4" t="s">
        <v>175</v>
      </c>
      <c r="D46" s="7"/>
      <c r="E46" s="7"/>
      <c r="F46" s="7">
        <v>20000</v>
      </c>
      <c r="G46" s="7">
        <v>20000</v>
      </c>
      <c r="H46" s="63"/>
    </row>
    <row r="47" spans="1:8" x14ac:dyDescent="0.35">
      <c r="A47" s="5">
        <v>19</v>
      </c>
      <c r="B47" s="6">
        <v>46085</v>
      </c>
      <c r="C47" s="4" t="s">
        <v>176</v>
      </c>
      <c r="D47" s="7"/>
      <c r="E47" s="7">
        <v>500000</v>
      </c>
      <c r="F47" s="7"/>
      <c r="G47" s="7">
        <f>E47</f>
        <v>500000</v>
      </c>
      <c r="H47" s="63"/>
    </row>
    <row r="48" spans="1:8" x14ac:dyDescent="0.35">
      <c r="A48" s="5">
        <v>20</v>
      </c>
      <c r="B48" s="6">
        <v>46085</v>
      </c>
      <c r="C48" s="4" t="s">
        <v>180</v>
      </c>
      <c r="D48" s="7"/>
      <c r="E48" s="7">
        <v>3000000</v>
      </c>
      <c r="F48" s="7"/>
      <c r="G48" s="7">
        <f>E48</f>
        <v>3000000</v>
      </c>
      <c r="H48" s="63"/>
    </row>
    <row r="49" spans="1:8" x14ac:dyDescent="0.35">
      <c r="A49" s="5">
        <v>21</v>
      </c>
      <c r="B49" s="6">
        <v>46086</v>
      </c>
      <c r="C49" s="4" t="s">
        <v>181</v>
      </c>
      <c r="D49" s="7"/>
      <c r="E49" s="7"/>
      <c r="F49" s="7">
        <v>45000</v>
      </c>
      <c r="G49" s="7">
        <f>F49</f>
        <v>45000</v>
      </c>
      <c r="H49" s="76"/>
    </row>
    <row r="50" spans="1:8" x14ac:dyDescent="0.35">
      <c r="A50" s="5">
        <v>22</v>
      </c>
      <c r="B50" s="6">
        <v>46088</v>
      </c>
      <c r="C50" s="4" t="s">
        <v>184</v>
      </c>
      <c r="D50" s="7"/>
      <c r="E50" s="7">
        <v>95075</v>
      </c>
      <c r="G50" s="7">
        <f>E50</f>
        <v>95075</v>
      </c>
      <c r="H50" s="76"/>
    </row>
    <row r="51" spans="1:8" x14ac:dyDescent="0.35">
      <c r="A51" s="5">
        <v>23</v>
      </c>
      <c r="B51" s="6">
        <v>46090</v>
      </c>
      <c r="C51" s="4" t="s">
        <v>186</v>
      </c>
      <c r="D51" s="7"/>
      <c r="E51" s="7">
        <v>245998</v>
      </c>
      <c r="F51" s="7"/>
      <c r="G51" s="7">
        <f>E51</f>
        <v>245998</v>
      </c>
      <c r="H51" s="78"/>
    </row>
    <row r="52" spans="1:8" x14ac:dyDescent="0.35">
      <c r="A52" s="5">
        <v>24</v>
      </c>
      <c r="B52" s="6">
        <v>46131</v>
      </c>
      <c r="C52" s="4" t="s">
        <v>183</v>
      </c>
      <c r="D52" s="7"/>
      <c r="E52" s="7"/>
      <c r="F52" s="7">
        <v>50000</v>
      </c>
      <c r="G52" s="7">
        <f>F52</f>
        <v>50000</v>
      </c>
      <c r="H52" s="76"/>
    </row>
    <row r="53" spans="1:8" x14ac:dyDescent="0.35">
      <c r="A53" s="5">
        <v>25</v>
      </c>
      <c r="B53" s="6">
        <v>46101</v>
      </c>
      <c r="C53" s="4" t="s">
        <v>185</v>
      </c>
      <c r="D53" s="7"/>
      <c r="E53" s="29">
        <v>1252911</v>
      </c>
      <c r="F53" s="7"/>
      <c r="G53" s="7">
        <f>E53</f>
        <v>1252911</v>
      </c>
      <c r="H53" s="63"/>
    </row>
    <row r="54" spans="1:8" x14ac:dyDescent="0.35">
      <c r="A54" s="5">
        <v>26</v>
      </c>
      <c r="B54" s="6">
        <v>46102</v>
      </c>
      <c r="C54" s="4" t="s">
        <v>187</v>
      </c>
      <c r="D54" s="7"/>
      <c r="E54" s="7"/>
      <c r="F54" s="7">
        <v>50000</v>
      </c>
      <c r="G54" s="7">
        <f>F54</f>
        <v>50000</v>
      </c>
      <c r="H54" s="77"/>
    </row>
    <row r="55" spans="1:8" x14ac:dyDescent="0.35">
      <c r="A55" s="5">
        <v>27</v>
      </c>
      <c r="B55" s="6">
        <v>46102</v>
      </c>
      <c r="C55" s="4" t="s">
        <v>174</v>
      </c>
      <c r="D55" s="7"/>
      <c r="E55" s="7"/>
      <c r="F55" s="7">
        <v>35000</v>
      </c>
      <c r="G55" s="7">
        <f t="shared" ref="G55:G56" si="0">F55</f>
        <v>35000</v>
      </c>
      <c r="H55" s="77"/>
    </row>
    <row r="56" spans="1:8" x14ac:dyDescent="0.35">
      <c r="A56" s="5">
        <v>28</v>
      </c>
      <c r="B56" s="6">
        <v>46102</v>
      </c>
      <c r="C56" s="4" t="s">
        <v>188</v>
      </c>
      <c r="D56" s="7"/>
      <c r="E56" s="7"/>
      <c r="F56" s="7">
        <v>15000</v>
      </c>
      <c r="G56" s="7">
        <f t="shared" si="0"/>
        <v>15000</v>
      </c>
      <c r="H56" s="77"/>
    </row>
    <row r="57" spans="1:8" x14ac:dyDescent="0.35">
      <c r="A57" s="5">
        <v>29</v>
      </c>
      <c r="B57" s="59">
        <v>46107</v>
      </c>
      <c r="C57" s="57" t="s">
        <v>160</v>
      </c>
      <c r="D57" s="29">
        <v>1000000</v>
      </c>
      <c r="E57" s="7"/>
      <c r="F57" s="7"/>
      <c r="G57" s="29">
        <f>D57</f>
        <v>1000000</v>
      </c>
      <c r="H57" s="77"/>
    </row>
    <row r="58" spans="1:8" x14ac:dyDescent="0.35">
      <c r="A58" s="5">
        <v>30</v>
      </c>
      <c r="B58" s="6">
        <v>46112</v>
      </c>
      <c r="C58" s="4" t="s">
        <v>191</v>
      </c>
      <c r="D58" s="7"/>
      <c r="E58" s="7"/>
      <c r="F58" s="7">
        <v>50000</v>
      </c>
      <c r="G58" s="7">
        <f t="shared" ref="G58:G65" si="1">F58</f>
        <v>50000</v>
      </c>
      <c r="H58" s="77"/>
    </row>
    <row r="59" spans="1:8" x14ac:dyDescent="0.35">
      <c r="A59" s="5">
        <v>31</v>
      </c>
      <c r="B59" s="6">
        <v>46112</v>
      </c>
      <c r="C59" s="4" t="s">
        <v>183</v>
      </c>
      <c r="D59" s="7"/>
      <c r="E59" s="7"/>
      <c r="F59" s="7">
        <v>50000</v>
      </c>
      <c r="G59" s="7">
        <f t="shared" si="1"/>
        <v>50000</v>
      </c>
      <c r="H59" s="79"/>
    </row>
    <row r="60" spans="1:8" x14ac:dyDescent="0.35">
      <c r="A60" s="5">
        <v>32</v>
      </c>
      <c r="B60" s="6">
        <v>46119</v>
      </c>
      <c r="C60" s="4" t="s">
        <v>192</v>
      </c>
      <c r="D60" s="7"/>
      <c r="E60" s="7"/>
      <c r="F60" s="7">
        <v>21700</v>
      </c>
      <c r="G60" s="7">
        <f t="shared" si="1"/>
        <v>21700</v>
      </c>
      <c r="H60" s="79"/>
    </row>
    <row r="61" spans="1:8" x14ac:dyDescent="0.35">
      <c r="A61" s="5">
        <v>33</v>
      </c>
      <c r="B61" s="6">
        <v>46124</v>
      </c>
      <c r="C61" s="4" t="s">
        <v>192</v>
      </c>
      <c r="D61" s="7"/>
      <c r="E61" s="7"/>
      <c r="F61" s="7">
        <v>28550</v>
      </c>
      <c r="G61" s="7">
        <f t="shared" si="1"/>
        <v>28550</v>
      </c>
      <c r="H61" s="80"/>
    </row>
    <row r="62" spans="1:8" x14ac:dyDescent="0.35">
      <c r="A62" s="5">
        <v>34</v>
      </c>
      <c r="B62" s="6">
        <v>46125</v>
      </c>
      <c r="C62" s="4" t="s">
        <v>193</v>
      </c>
      <c r="D62" s="7"/>
      <c r="E62" s="7"/>
      <c r="F62" s="7">
        <v>20000</v>
      </c>
      <c r="G62" s="7">
        <f t="shared" si="1"/>
        <v>20000</v>
      </c>
      <c r="H62" s="79"/>
    </row>
    <row r="63" spans="1:8" x14ac:dyDescent="0.35">
      <c r="A63" s="5">
        <v>35</v>
      </c>
      <c r="B63" s="6">
        <v>46130</v>
      </c>
      <c r="C63" s="4" t="s">
        <v>183</v>
      </c>
      <c r="D63" s="7"/>
      <c r="E63" s="7"/>
      <c r="F63" s="7">
        <v>50000</v>
      </c>
      <c r="G63" s="7">
        <f t="shared" si="1"/>
        <v>50000</v>
      </c>
      <c r="H63" s="77"/>
    </row>
    <row r="64" spans="1:8" x14ac:dyDescent="0.35">
      <c r="A64" s="5">
        <v>36</v>
      </c>
      <c r="B64" s="6">
        <v>46130</v>
      </c>
      <c r="C64" s="4" t="s">
        <v>187</v>
      </c>
      <c r="D64" s="7"/>
      <c r="E64" s="7"/>
      <c r="F64" s="7">
        <v>25000</v>
      </c>
      <c r="G64" s="7">
        <f t="shared" si="1"/>
        <v>25000</v>
      </c>
      <c r="H64" s="77"/>
    </row>
    <row r="65" spans="1:8" x14ac:dyDescent="0.35">
      <c r="A65" s="5">
        <v>37</v>
      </c>
      <c r="B65" s="6">
        <v>46131</v>
      </c>
      <c r="C65" s="4" t="s">
        <v>187</v>
      </c>
      <c r="D65" s="7"/>
      <c r="E65" s="7"/>
      <c r="F65" s="7">
        <v>45000</v>
      </c>
      <c r="G65" s="7">
        <f t="shared" si="1"/>
        <v>45000</v>
      </c>
      <c r="H65" s="63"/>
    </row>
    <row r="66" spans="1:8" x14ac:dyDescent="0.35">
      <c r="A66" s="5">
        <v>38</v>
      </c>
      <c r="B66" s="6">
        <v>46141</v>
      </c>
      <c r="C66" s="4" t="s">
        <v>195</v>
      </c>
      <c r="D66" s="7"/>
      <c r="E66" s="7">
        <v>35920</v>
      </c>
      <c r="F66" s="7"/>
      <c r="G66" s="7">
        <f>E66</f>
        <v>35920</v>
      </c>
      <c r="H66" s="80"/>
    </row>
    <row r="67" spans="1:8" x14ac:dyDescent="0.35">
      <c r="A67" s="5">
        <v>39</v>
      </c>
      <c r="B67" s="6">
        <v>46144</v>
      </c>
      <c r="C67" s="4" t="s">
        <v>174</v>
      </c>
      <c r="D67" s="7"/>
      <c r="E67" s="7"/>
      <c r="F67" s="7">
        <v>30000</v>
      </c>
      <c r="G67" s="7">
        <f>F67</f>
        <v>30000</v>
      </c>
      <c r="H67" s="80"/>
    </row>
    <row r="68" spans="1:8" x14ac:dyDescent="0.35">
      <c r="A68" s="5">
        <v>40</v>
      </c>
      <c r="B68" s="59">
        <v>46150</v>
      </c>
      <c r="C68" s="57" t="s">
        <v>160</v>
      </c>
      <c r="D68" s="29">
        <v>500000</v>
      </c>
      <c r="E68" s="7"/>
      <c r="F68" s="7"/>
      <c r="G68" s="29">
        <f>D68</f>
        <v>500000</v>
      </c>
      <c r="H68" s="80"/>
    </row>
    <row r="69" spans="1:8" x14ac:dyDescent="0.35">
      <c r="A69" s="5">
        <v>41</v>
      </c>
      <c r="B69" s="6">
        <v>46158</v>
      </c>
      <c r="C69" s="4" t="s">
        <v>203</v>
      </c>
      <c r="D69" s="7"/>
      <c r="E69" s="7"/>
      <c r="F69" s="7">
        <v>40000</v>
      </c>
      <c r="G69" s="7">
        <f>D69+E69+F69</f>
        <v>40000</v>
      </c>
      <c r="H69" s="80"/>
    </row>
    <row r="70" spans="1:8" x14ac:dyDescent="0.35">
      <c r="A70" s="5">
        <v>42</v>
      </c>
      <c r="B70" s="6">
        <v>46158</v>
      </c>
      <c r="C70" s="4" t="s">
        <v>202</v>
      </c>
      <c r="D70" s="7"/>
      <c r="E70" s="7"/>
      <c r="F70" s="7">
        <v>30000</v>
      </c>
      <c r="G70" s="7">
        <f t="shared" ref="G70:G93" si="2">D70+E70+F70</f>
        <v>30000</v>
      </c>
      <c r="H70" s="80"/>
    </row>
    <row r="71" spans="1:8" x14ac:dyDescent="0.35">
      <c r="A71" s="5">
        <v>43</v>
      </c>
      <c r="B71" s="6">
        <v>46160</v>
      </c>
      <c r="C71" s="4" t="s">
        <v>201</v>
      </c>
      <c r="D71" s="7"/>
      <c r="E71" s="7"/>
      <c r="F71" s="7">
        <v>10000</v>
      </c>
      <c r="G71" s="7">
        <f t="shared" si="2"/>
        <v>10000</v>
      </c>
      <c r="H71" s="63"/>
    </row>
    <row r="72" spans="1:8" x14ac:dyDescent="0.35">
      <c r="A72" s="5">
        <v>44</v>
      </c>
      <c r="B72" s="6">
        <v>46160</v>
      </c>
      <c r="C72" s="4" t="s">
        <v>200</v>
      </c>
      <c r="D72" s="4"/>
      <c r="E72" s="7">
        <v>492500</v>
      </c>
      <c r="F72" s="4"/>
      <c r="G72" s="7">
        <f t="shared" si="2"/>
        <v>492500</v>
      </c>
    </row>
    <row r="73" spans="1:8" x14ac:dyDescent="0.35">
      <c r="A73" s="5">
        <v>45</v>
      </c>
      <c r="B73" s="6">
        <v>46162</v>
      </c>
      <c r="C73" s="4" t="s">
        <v>200</v>
      </c>
      <c r="D73" s="4"/>
      <c r="E73" s="7">
        <v>500000</v>
      </c>
      <c r="F73" s="4"/>
      <c r="G73" s="7">
        <f t="shared" si="2"/>
        <v>500000</v>
      </c>
    </row>
    <row r="74" spans="1:8" x14ac:dyDescent="0.35">
      <c r="A74" s="5">
        <v>46</v>
      </c>
      <c r="B74" s="59">
        <v>46162</v>
      </c>
      <c r="C74" s="57" t="s">
        <v>160</v>
      </c>
      <c r="D74" s="29">
        <v>500000</v>
      </c>
      <c r="E74" s="4"/>
      <c r="F74" s="4"/>
      <c r="G74" s="29">
        <f t="shared" si="2"/>
        <v>500000</v>
      </c>
    </row>
    <row r="75" spans="1:8" x14ac:dyDescent="0.35">
      <c r="A75" s="5">
        <v>47</v>
      </c>
      <c r="B75" s="6">
        <v>46162</v>
      </c>
      <c r="C75" s="4" t="s">
        <v>206</v>
      </c>
      <c r="D75" s="4"/>
      <c r="E75" s="7"/>
      <c r="F75" s="7">
        <v>130000</v>
      </c>
      <c r="G75" s="7">
        <f t="shared" si="2"/>
        <v>130000</v>
      </c>
    </row>
    <row r="76" spans="1:8" x14ac:dyDescent="0.35">
      <c r="A76" s="5">
        <v>48</v>
      </c>
      <c r="B76" s="6">
        <v>46163</v>
      </c>
      <c r="C76" s="4" t="s">
        <v>206</v>
      </c>
      <c r="D76" s="4"/>
      <c r="E76" s="4"/>
      <c r="F76" s="7">
        <v>23755</v>
      </c>
      <c r="G76" s="7">
        <f t="shared" si="2"/>
        <v>23755</v>
      </c>
    </row>
    <row r="77" spans="1:8" x14ac:dyDescent="0.35">
      <c r="A77" s="5">
        <v>49</v>
      </c>
      <c r="B77" s="6">
        <v>46163</v>
      </c>
      <c r="C77" s="4" t="s">
        <v>205</v>
      </c>
      <c r="D77" s="4"/>
      <c r="E77" s="4"/>
      <c r="F77" s="7">
        <v>100038</v>
      </c>
      <c r="G77" s="7">
        <f t="shared" si="2"/>
        <v>100038</v>
      </c>
    </row>
    <row r="78" spans="1:8" x14ac:dyDescent="0.35">
      <c r="A78" s="5">
        <v>50</v>
      </c>
      <c r="B78" s="6">
        <v>46164</v>
      </c>
      <c r="C78" s="4" t="s">
        <v>204</v>
      </c>
      <c r="D78" s="4"/>
      <c r="E78" s="4"/>
      <c r="F78" s="7">
        <v>63674</v>
      </c>
      <c r="G78" s="7">
        <f t="shared" si="2"/>
        <v>63674</v>
      </c>
    </row>
    <row r="79" spans="1:8" x14ac:dyDescent="0.35">
      <c r="A79" s="5">
        <v>51</v>
      </c>
      <c r="B79" s="6">
        <v>46165</v>
      </c>
      <c r="C79" s="4" t="s">
        <v>207</v>
      </c>
      <c r="D79" s="4"/>
      <c r="E79" s="4"/>
      <c r="F79" s="7">
        <v>100000</v>
      </c>
      <c r="G79" s="7">
        <f t="shared" si="2"/>
        <v>100000</v>
      </c>
    </row>
    <row r="80" spans="1:8" x14ac:dyDescent="0.35">
      <c r="A80" s="5">
        <v>52</v>
      </c>
      <c r="B80" s="6">
        <v>46166</v>
      </c>
      <c r="C80" s="4" t="s">
        <v>202</v>
      </c>
      <c r="D80" s="4"/>
      <c r="E80" s="4"/>
      <c r="F80" s="7">
        <v>20000</v>
      </c>
      <c r="G80" s="7">
        <f t="shared" si="2"/>
        <v>20000</v>
      </c>
    </row>
    <row r="81" spans="1:7" x14ac:dyDescent="0.35">
      <c r="A81" s="5">
        <v>53</v>
      </c>
      <c r="B81" s="6">
        <v>46168</v>
      </c>
      <c r="C81" s="4" t="s">
        <v>208</v>
      </c>
      <c r="D81" s="4"/>
      <c r="E81" s="4"/>
      <c r="F81" s="7">
        <v>99500</v>
      </c>
      <c r="G81" s="7">
        <f t="shared" si="2"/>
        <v>99500</v>
      </c>
    </row>
    <row r="82" spans="1:7" x14ac:dyDescent="0.35">
      <c r="A82" s="5">
        <v>54</v>
      </c>
      <c r="B82" s="6">
        <v>46168</v>
      </c>
      <c r="C82" s="4" t="s">
        <v>200</v>
      </c>
      <c r="D82" s="4"/>
      <c r="E82" s="7">
        <v>250000</v>
      </c>
      <c r="F82" s="7"/>
      <c r="G82" s="7"/>
    </row>
    <row r="83" spans="1:7" x14ac:dyDescent="0.35">
      <c r="A83" s="5">
        <v>55</v>
      </c>
      <c r="B83" s="59">
        <v>46172</v>
      </c>
      <c r="C83" s="57" t="s">
        <v>160</v>
      </c>
      <c r="D83" s="29">
        <v>250000</v>
      </c>
      <c r="E83" s="4"/>
      <c r="F83" s="7"/>
      <c r="G83" s="29">
        <f>D83+E83+F83</f>
        <v>250000</v>
      </c>
    </row>
    <row r="84" spans="1:7" x14ac:dyDescent="0.35">
      <c r="A84" s="5">
        <v>56</v>
      </c>
      <c r="B84" s="6">
        <v>46173</v>
      </c>
      <c r="C84" s="4" t="s">
        <v>209</v>
      </c>
      <c r="D84" s="4"/>
      <c r="E84" s="4"/>
      <c r="F84" s="7">
        <v>40000</v>
      </c>
      <c r="G84" s="7">
        <f>D84+E84+F84</f>
        <v>40000</v>
      </c>
    </row>
    <row r="85" spans="1:7" x14ac:dyDescent="0.35">
      <c r="A85" s="5">
        <v>57</v>
      </c>
      <c r="B85" s="6">
        <v>46173</v>
      </c>
      <c r="C85" s="4" t="s">
        <v>202</v>
      </c>
      <c r="D85" s="4"/>
      <c r="E85" s="4"/>
      <c r="F85" s="7">
        <v>60000</v>
      </c>
      <c r="G85" s="7">
        <f>D85+E85+F85</f>
        <v>60000</v>
      </c>
    </row>
    <row r="86" spans="1:7" x14ac:dyDescent="0.35">
      <c r="A86" s="5"/>
      <c r="B86" s="4"/>
      <c r="C86" s="4"/>
      <c r="D86" s="4"/>
      <c r="E86" s="4"/>
      <c r="F86" s="7"/>
      <c r="G86" s="7">
        <f t="shared" si="2"/>
        <v>0</v>
      </c>
    </row>
    <row r="87" spans="1:7" x14ac:dyDescent="0.35">
      <c r="A87" s="5"/>
      <c r="B87" s="4"/>
      <c r="C87" s="4"/>
      <c r="D87" s="4"/>
      <c r="E87" s="4"/>
      <c r="F87" s="7"/>
      <c r="G87" s="7">
        <f t="shared" si="2"/>
        <v>0</v>
      </c>
    </row>
    <row r="88" spans="1:7" x14ac:dyDescent="0.35">
      <c r="A88" s="5"/>
      <c r="B88" s="4"/>
      <c r="C88" s="4"/>
      <c r="D88" s="4"/>
      <c r="E88" s="4"/>
      <c r="F88" s="4"/>
      <c r="G88" s="7">
        <f t="shared" si="2"/>
        <v>0</v>
      </c>
    </row>
    <row r="89" spans="1:7" x14ac:dyDescent="0.35">
      <c r="A89" s="5"/>
      <c r="B89" s="4"/>
      <c r="C89" s="4"/>
      <c r="D89" s="4"/>
      <c r="E89" s="4"/>
      <c r="F89" s="4"/>
      <c r="G89" s="7">
        <f t="shared" si="2"/>
        <v>0</v>
      </c>
    </row>
    <row r="90" spans="1:7" x14ac:dyDescent="0.35">
      <c r="A90" s="5"/>
      <c r="B90" s="4"/>
      <c r="C90" s="4"/>
      <c r="D90" s="4"/>
      <c r="E90" s="4"/>
      <c r="F90" s="4"/>
      <c r="G90" s="7">
        <f t="shared" si="2"/>
        <v>0</v>
      </c>
    </row>
    <row r="91" spans="1:7" x14ac:dyDescent="0.35">
      <c r="A91" s="5"/>
      <c r="B91" s="4"/>
      <c r="C91" s="4"/>
      <c r="D91" s="4"/>
      <c r="E91" s="4"/>
      <c r="F91" s="4"/>
      <c r="G91" s="7">
        <f t="shared" si="2"/>
        <v>0</v>
      </c>
    </row>
    <row r="92" spans="1:7" x14ac:dyDescent="0.35">
      <c r="A92" s="5"/>
      <c r="B92" s="4"/>
      <c r="C92" s="4"/>
      <c r="D92" s="4"/>
      <c r="E92" s="4"/>
      <c r="F92" s="4"/>
      <c r="G92" s="7">
        <f t="shared" si="2"/>
        <v>0</v>
      </c>
    </row>
    <row r="93" spans="1:7" x14ac:dyDescent="0.35">
      <c r="A93" s="5"/>
      <c r="B93" s="4"/>
      <c r="C93" s="4"/>
      <c r="D93" s="4"/>
      <c r="E93" s="4"/>
      <c r="F93" s="4"/>
      <c r="G93" s="7">
        <f t="shared" si="2"/>
        <v>0</v>
      </c>
    </row>
    <row r="94" spans="1:7" x14ac:dyDescent="0.35">
      <c r="A94" s="5"/>
      <c r="B94" s="4"/>
      <c r="C94" s="4"/>
      <c r="D94" s="4"/>
      <c r="E94" s="4"/>
      <c r="F94" s="4"/>
      <c r="G94" s="7"/>
    </row>
    <row r="95" spans="1:7" x14ac:dyDescent="0.35">
      <c r="A95" s="8"/>
      <c r="B95" s="8"/>
      <c r="C95" s="8" t="s">
        <v>15</v>
      </c>
      <c r="D95" s="14">
        <f>SUM(D10:D93)</f>
        <v>10749000</v>
      </c>
      <c r="E95" s="9">
        <f>SUM(E10:E93)</f>
        <v>26972404</v>
      </c>
      <c r="F95" s="9">
        <f>SUM(F43:F92)</f>
        <v>1410217</v>
      </c>
      <c r="G95" s="9">
        <f>SUM(G10:G94)</f>
        <v>38881621</v>
      </c>
    </row>
    <row r="97" spans="4:11" x14ac:dyDescent="0.35">
      <c r="D97" s="16" t="s">
        <v>124</v>
      </c>
      <c r="E97" s="17">
        <f>D95+E95+F95</f>
        <v>39131621</v>
      </c>
      <c r="F97" s="17"/>
      <c r="G97" s="17"/>
      <c r="I97" s="24">
        <v>11000</v>
      </c>
      <c r="J97">
        <v>7.5</v>
      </c>
      <c r="K97">
        <f>I97*J97</f>
        <v>82500</v>
      </c>
    </row>
    <row r="98" spans="4:11" x14ac:dyDescent="0.35">
      <c r="D98" s="16" t="s">
        <v>123</v>
      </c>
      <c r="E98" s="17">
        <v>1000</v>
      </c>
      <c r="F98" s="17"/>
      <c r="K98">
        <v>14300</v>
      </c>
    </row>
    <row r="99" spans="4:11" x14ac:dyDescent="0.35">
      <c r="K99">
        <f>SUM(K97:K98)</f>
        <v>96800</v>
      </c>
    </row>
    <row r="100" spans="4:11" ht="15" thickBot="1" x14ac:dyDescent="0.4">
      <c r="D100" s="54" t="s">
        <v>25</v>
      </c>
      <c r="E100" s="55">
        <f>SUM(E97:E99)</f>
        <v>39132621</v>
      </c>
      <c r="F100" s="75"/>
    </row>
    <row r="101" spans="4:11" ht="15" thickTop="1" x14ac:dyDescent="0.35"/>
  </sheetData>
  <mergeCells count="16">
    <mergeCell ref="G30:G32"/>
    <mergeCell ref="G33:G36"/>
    <mergeCell ref="A1:G1"/>
    <mergeCell ref="H7:H9"/>
    <mergeCell ref="H5:K5"/>
    <mergeCell ref="C2:G2"/>
    <mergeCell ref="A3:G3"/>
    <mergeCell ref="G4:G6"/>
    <mergeCell ref="D5:F5"/>
    <mergeCell ref="H28:H29"/>
    <mergeCell ref="G10:G15"/>
    <mergeCell ref="G16:G17"/>
    <mergeCell ref="G18:G19"/>
    <mergeCell ref="G20:G23"/>
    <mergeCell ref="G24:G26"/>
    <mergeCell ref="G27:G29"/>
  </mergeCells>
  <pageMargins left="0.56999999999999995" right="0.34" top="0.74803149606299213" bottom="0.74803149606299213" header="0.31496062992125984" footer="0.31496062992125984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opLeftCell="A22" zoomScale="115" zoomScaleNormal="115" workbookViewId="0">
      <selection activeCell="I14" sqref="I14"/>
    </sheetView>
  </sheetViews>
  <sheetFormatPr defaultRowHeight="14.5" x14ac:dyDescent="0.35"/>
  <cols>
    <col min="1" max="1" width="5.26953125" customWidth="1"/>
    <col min="2" max="2" width="11.453125" customWidth="1"/>
    <col min="3" max="3" width="52.54296875" customWidth="1"/>
    <col min="4" max="4" width="15.81640625" customWidth="1"/>
    <col min="5" max="5" width="5.453125" customWidth="1"/>
    <col min="6" max="6" width="12.90625" customWidth="1"/>
  </cols>
  <sheetData>
    <row r="1" spans="1:6" ht="21" x14ac:dyDescent="0.35">
      <c r="A1" s="108" t="s">
        <v>10</v>
      </c>
      <c r="B1" s="108"/>
      <c r="C1" s="108"/>
      <c r="D1" s="108"/>
    </row>
    <row r="2" spans="1:6" ht="15.5" x14ac:dyDescent="0.35">
      <c r="A2" s="1" t="s">
        <v>0</v>
      </c>
      <c r="B2" s="1"/>
      <c r="C2" s="109" t="s">
        <v>7</v>
      </c>
      <c r="D2" s="110"/>
    </row>
    <row r="3" spans="1:6" ht="15.5" x14ac:dyDescent="0.35">
      <c r="A3" s="111" t="s">
        <v>8</v>
      </c>
      <c r="B3" s="111"/>
      <c r="C3" s="111"/>
      <c r="D3" s="111"/>
    </row>
    <row r="4" spans="1:6" ht="15.5" x14ac:dyDescent="0.35">
      <c r="A4" s="2" t="s">
        <v>9</v>
      </c>
      <c r="B4" s="2"/>
      <c r="C4" s="2"/>
      <c r="D4" s="2"/>
    </row>
    <row r="5" spans="1:6" ht="15.5" x14ac:dyDescent="0.35">
      <c r="A5" s="3" t="s">
        <v>4</v>
      </c>
      <c r="B5" s="3" t="s">
        <v>5</v>
      </c>
      <c r="C5" s="3" t="s">
        <v>6</v>
      </c>
      <c r="D5" s="3" t="s">
        <v>11</v>
      </c>
    </row>
    <row r="6" spans="1:6" x14ac:dyDescent="0.35">
      <c r="A6" s="4"/>
      <c r="B6" s="4"/>
      <c r="C6" s="4"/>
      <c r="D6" s="4"/>
    </row>
    <row r="7" spans="1:6" x14ac:dyDescent="0.35">
      <c r="A7" s="5">
        <v>1</v>
      </c>
      <c r="B7" s="6">
        <v>45526</v>
      </c>
      <c r="C7" s="4" t="s">
        <v>27</v>
      </c>
      <c r="D7" s="7">
        <v>2500</v>
      </c>
    </row>
    <row r="8" spans="1:6" x14ac:dyDescent="0.35">
      <c r="A8" s="5">
        <v>2</v>
      </c>
      <c r="B8" s="11">
        <v>45540</v>
      </c>
      <c r="C8" s="4" t="s">
        <v>20</v>
      </c>
      <c r="D8" s="7">
        <v>5000</v>
      </c>
    </row>
    <row r="9" spans="1:6" x14ac:dyDescent="0.35">
      <c r="A9" s="5">
        <v>3</v>
      </c>
      <c r="B9" s="11">
        <v>45573</v>
      </c>
      <c r="C9" s="4" t="s">
        <v>21</v>
      </c>
      <c r="D9" s="7">
        <v>25000</v>
      </c>
    </row>
    <row r="10" spans="1:6" x14ac:dyDescent="0.35">
      <c r="A10" s="5">
        <v>4</v>
      </c>
      <c r="B10" s="11">
        <v>45573</v>
      </c>
      <c r="C10" s="4" t="s">
        <v>21</v>
      </c>
      <c r="D10" s="7">
        <v>25000</v>
      </c>
    </row>
    <row r="11" spans="1:6" x14ac:dyDescent="0.35">
      <c r="A11" s="5">
        <v>5</v>
      </c>
      <c r="B11" s="6">
        <v>45654</v>
      </c>
      <c r="C11" s="4" t="s">
        <v>29</v>
      </c>
      <c r="D11" s="15">
        <v>25000</v>
      </c>
      <c r="F11" t="s">
        <v>30</v>
      </c>
    </row>
    <row r="12" spans="1:6" x14ac:dyDescent="0.35">
      <c r="A12" s="5">
        <v>6</v>
      </c>
      <c r="B12" s="6">
        <v>45655</v>
      </c>
      <c r="C12" s="4" t="s">
        <v>29</v>
      </c>
      <c r="D12" s="15">
        <v>22250</v>
      </c>
    </row>
    <row r="13" spans="1:6" x14ac:dyDescent="0.35">
      <c r="A13" s="5">
        <v>7</v>
      </c>
      <c r="B13" s="6">
        <v>45656</v>
      </c>
      <c r="C13" s="4" t="s">
        <v>26</v>
      </c>
      <c r="D13" s="15">
        <v>25000</v>
      </c>
    </row>
    <row r="14" spans="1:6" x14ac:dyDescent="0.35">
      <c r="A14" s="5">
        <v>8</v>
      </c>
      <c r="B14" s="6">
        <v>45660</v>
      </c>
      <c r="C14" s="4" t="s">
        <v>31</v>
      </c>
      <c r="D14" s="15">
        <v>25000</v>
      </c>
      <c r="F14" t="s">
        <v>32</v>
      </c>
    </row>
    <row r="15" spans="1:6" x14ac:dyDescent="0.35">
      <c r="A15" s="5">
        <v>9</v>
      </c>
      <c r="B15" s="6">
        <v>45660</v>
      </c>
      <c r="C15" s="4" t="s">
        <v>31</v>
      </c>
      <c r="D15" s="15">
        <v>25000</v>
      </c>
      <c r="F15" t="s">
        <v>32</v>
      </c>
    </row>
    <row r="16" spans="1:6" x14ac:dyDescent="0.35">
      <c r="A16" s="5">
        <v>10</v>
      </c>
      <c r="B16" s="6">
        <v>45661</v>
      </c>
      <c r="C16" s="4" t="s">
        <v>48</v>
      </c>
      <c r="D16" s="15">
        <v>25000</v>
      </c>
    </row>
    <row r="17" spans="1:6" x14ac:dyDescent="0.35">
      <c r="A17" s="5">
        <v>11</v>
      </c>
      <c r="B17" s="6">
        <v>45665</v>
      </c>
      <c r="C17" s="4" t="s">
        <v>33</v>
      </c>
      <c r="D17" s="15">
        <v>25000</v>
      </c>
      <c r="F17" t="s">
        <v>34</v>
      </c>
    </row>
    <row r="18" spans="1:6" x14ac:dyDescent="0.35">
      <c r="A18" s="5">
        <v>12</v>
      </c>
      <c r="B18" s="6">
        <v>45668</v>
      </c>
      <c r="C18" s="4" t="s">
        <v>35</v>
      </c>
      <c r="D18" s="29">
        <v>50000</v>
      </c>
    </row>
    <row r="19" spans="1:6" x14ac:dyDescent="0.35">
      <c r="A19" s="5">
        <v>13</v>
      </c>
      <c r="B19" s="6">
        <v>45668</v>
      </c>
      <c r="C19" s="4" t="s">
        <v>35</v>
      </c>
      <c r="D19" s="29">
        <v>25000</v>
      </c>
    </row>
    <row r="20" spans="1:6" x14ac:dyDescent="0.35">
      <c r="A20" s="5">
        <v>14</v>
      </c>
      <c r="B20" s="6">
        <v>45668</v>
      </c>
      <c r="C20" s="4" t="s">
        <v>35</v>
      </c>
      <c r="D20" s="29">
        <v>100000</v>
      </c>
    </row>
    <row r="21" spans="1:6" x14ac:dyDescent="0.35">
      <c r="A21" s="5">
        <v>15</v>
      </c>
      <c r="B21" s="6">
        <v>45701</v>
      </c>
      <c r="C21" s="4" t="s">
        <v>37</v>
      </c>
      <c r="D21" s="7">
        <v>100000</v>
      </c>
    </row>
    <row r="22" spans="1:6" x14ac:dyDescent="0.35">
      <c r="A22" s="5">
        <v>16</v>
      </c>
      <c r="B22" s="6">
        <v>45702</v>
      </c>
      <c r="C22" s="4" t="s">
        <v>55</v>
      </c>
      <c r="D22" s="7">
        <v>27000</v>
      </c>
    </row>
    <row r="23" spans="1:6" x14ac:dyDescent="0.35">
      <c r="A23" s="5">
        <v>17</v>
      </c>
      <c r="B23" s="6">
        <v>45703</v>
      </c>
      <c r="C23" s="4" t="s">
        <v>39</v>
      </c>
      <c r="D23" s="7">
        <v>80000</v>
      </c>
    </row>
    <row r="24" spans="1:6" x14ac:dyDescent="0.35">
      <c r="A24" s="5">
        <v>18</v>
      </c>
      <c r="B24" s="6">
        <v>45710</v>
      </c>
      <c r="C24" s="4" t="s">
        <v>38</v>
      </c>
      <c r="D24" s="7">
        <v>50000</v>
      </c>
    </row>
    <row r="25" spans="1:6" x14ac:dyDescent="0.35">
      <c r="A25" s="5">
        <v>19</v>
      </c>
      <c r="B25" s="6">
        <v>45719</v>
      </c>
      <c r="C25" s="4" t="s">
        <v>40</v>
      </c>
      <c r="D25" s="7">
        <v>70000</v>
      </c>
    </row>
    <row r="26" spans="1:6" x14ac:dyDescent="0.35">
      <c r="A26" s="5">
        <v>20</v>
      </c>
      <c r="B26" s="6">
        <v>45720</v>
      </c>
      <c r="C26" s="4" t="s">
        <v>41</v>
      </c>
      <c r="D26" s="7">
        <v>32500</v>
      </c>
      <c r="F26" t="s">
        <v>47</v>
      </c>
    </row>
    <row r="27" spans="1:6" x14ac:dyDescent="0.35">
      <c r="A27" s="5">
        <v>21</v>
      </c>
      <c r="B27" s="6">
        <v>45722</v>
      </c>
      <c r="C27" s="4" t="s">
        <v>42</v>
      </c>
      <c r="D27" s="7">
        <v>25000</v>
      </c>
    </row>
    <row r="28" spans="1:6" x14ac:dyDescent="0.35">
      <c r="A28" s="5">
        <v>22</v>
      </c>
      <c r="B28" s="6">
        <v>45724</v>
      </c>
      <c r="C28" s="4" t="s">
        <v>42</v>
      </c>
      <c r="D28" s="7">
        <v>75000</v>
      </c>
    </row>
    <row r="29" spans="1:6" x14ac:dyDescent="0.35">
      <c r="A29" s="5">
        <v>23</v>
      </c>
      <c r="B29" s="6">
        <v>45724</v>
      </c>
      <c r="C29" s="4" t="s">
        <v>42</v>
      </c>
      <c r="D29" s="7">
        <v>100000</v>
      </c>
    </row>
    <row r="30" spans="1:6" x14ac:dyDescent="0.35">
      <c r="A30" s="5">
        <v>24</v>
      </c>
      <c r="B30" s="6">
        <v>45724</v>
      </c>
      <c r="C30" s="4" t="s">
        <v>42</v>
      </c>
      <c r="D30" s="7">
        <v>100000</v>
      </c>
    </row>
    <row r="31" spans="1:6" x14ac:dyDescent="0.35">
      <c r="A31" s="5">
        <v>25</v>
      </c>
      <c r="B31" s="6">
        <v>45724</v>
      </c>
      <c r="C31" s="4" t="s">
        <v>43</v>
      </c>
      <c r="D31" s="7">
        <v>25000</v>
      </c>
      <c r="F31" t="s">
        <v>45</v>
      </c>
    </row>
    <row r="32" spans="1:6" x14ac:dyDescent="0.35">
      <c r="A32" s="5">
        <v>26</v>
      </c>
      <c r="B32" s="6">
        <v>45724</v>
      </c>
      <c r="C32" s="4" t="s">
        <v>44</v>
      </c>
      <c r="D32" s="7">
        <v>25000</v>
      </c>
    </row>
    <row r="33" spans="1:6" x14ac:dyDescent="0.35">
      <c r="A33" s="5">
        <v>27</v>
      </c>
      <c r="B33" s="6">
        <v>45728</v>
      </c>
      <c r="C33" s="4" t="s">
        <v>46</v>
      </c>
      <c r="D33" s="7">
        <v>32500</v>
      </c>
      <c r="F33" t="s">
        <v>47</v>
      </c>
    </row>
    <row r="34" spans="1:6" x14ac:dyDescent="0.35">
      <c r="A34" s="5">
        <v>28</v>
      </c>
      <c r="B34" s="6">
        <v>45731</v>
      </c>
      <c r="C34" s="4" t="s">
        <v>49</v>
      </c>
      <c r="D34" s="7">
        <v>80000</v>
      </c>
    </row>
    <row r="35" spans="1:6" x14ac:dyDescent="0.35">
      <c r="A35" s="5">
        <v>29</v>
      </c>
      <c r="B35" s="6">
        <v>45733</v>
      </c>
      <c r="C35" s="4" t="s">
        <v>44</v>
      </c>
      <c r="D35" s="7">
        <v>25000</v>
      </c>
      <c r="F35" t="s">
        <v>52</v>
      </c>
    </row>
    <row r="36" spans="1:6" x14ac:dyDescent="0.35">
      <c r="A36" s="5">
        <v>30</v>
      </c>
      <c r="B36" s="6">
        <v>45734</v>
      </c>
      <c r="C36" s="4" t="s">
        <v>42</v>
      </c>
      <c r="D36" s="7">
        <v>100000</v>
      </c>
    </row>
    <row r="37" spans="1:6" x14ac:dyDescent="0.35">
      <c r="A37" s="5">
        <v>31</v>
      </c>
      <c r="B37" s="6">
        <v>45734</v>
      </c>
      <c r="C37" s="4" t="s">
        <v>42</v>
      </c>
      <c r="D37" s="7">
        <v>100000</v>
      </c>
    </row>
    <row r="38" spans="1:6" x14ac:dyDescent="0.35">
      <c r="A38" s="5">
        <v>32</v>
      </c>
      <c r="B38" s="6">
        <v>45736</v>
      </c>
      <c r="C38" s="4" t="s">
        <v>54</v>
      </c>
      <c r="D38" s="7">
        <v>15000</v>
      </c>
      <c r="F38" t="s">
        <v>53</v>
      </c>
    </row>
    <row r="39" spans="1:6" x14ac:dyDescent="0.35">
      <c r="A39" s="5">
        <v>33</v>
      </c>
      <c r="B39" s="6">
        <v>45736</v>
      </c>
      <c r="C39" s="4" t="s">
        <v>57</v>
      </c>
      <c r="D39" s="7">
        <v>26000</v>
      </c>
      <c r="F39" t="s">
        <v>56</v>
      </c>
    </row>
    <row r="40" spans="1:6" x14ac:dyDescent="0.35">
      <c r="A40" s="5">
        <v>34</v>
      </c>
      <c r="B40" s="6">
        <v>45736</v>
      </c>
      <c r="C40" s="4" t="s">
        <v>66</v>
      </c>
      <c r="D40" s="7">
        <v>10000</v>
      </c>
      <c r="F40" t="s">
        <v>63</v>
      </c>
    </row>
    <row r="41" spans="1:6" x14ac:dyDescent="0.35">
      <c r="A41" s="5">
        <v>35</v>
      </c>
      <c r="B41" s="6">
        <v>45741</v>
      </c>
      <c r="C41" s="4" t="s">
        <v>67</v>
      </c>
      <c r="D41" s="7">
        <v>5000</v>
      </c>
      <c r="F41" t="s">
        <v>64</v>
      </c>
    </row>
    <row r="42" spans="1:6" x14ac:dyDescent="0.35">
      <c r="A42" s="5">
        <v>36</v>
      </c>
      <c r="B42" s="6">
        <v>45741</v>
      </c>
      <c r="C42" s="4" t="s">
        <v>68</v>
      </c>
      <c r="D42" s="7">
        <v>20000</v>
      </c>
      <c r="F42" t="s">
        <v>65</v>
      </c>
    </row>
    <row r="43" spans="1:6" x14ac:dyDescent="0.35">
      <c r="A43" s="5">
        <v>37</v>
      </c>
      <c r="B43" s="6">
        <v>45742</v>
      </c>
      <c r="C43" s="4" t="s">
        <v>62</v>
      </c>
      <c r="D43" s="7">
        <v>180000</v>
      </c>
    </row>
    <row r="44" spans="1:6" x14ac:dyDescent="0.35">
      <c r="A44" s="5">
        <v>38</v>
      </c>
      <c r="B44" s="6">
        <v>45742</v>
      </c>
      <c r="C44" s="4" t="s">
        <v>66</v>
      </c>
      <c r="D44" s="7">
        <v>31500</v>
      </c>
      <c r="F44" t="s">
        <v>71</v>
      </c>
    </row>
    <row r="45" spans="1:6" x14ac:dyDescent="0.35">
      <c r="A45" s="5">
        <v>39</v>
      </c>
      <c r="B45" s="6">
        <v>45743</v>
      </c>
      <c r="C45" s="4" t="s">
        <v>66</v>
      </c>
      <c r="D45" s="7">
        <v>31500</v>
      </c>
      <c r="F45" t="s">
        <v>72</v>
      </c>
    </row>
    <row r="46" spans="1:6" x14ac:dyDescent="0.35">
      <c r="A46" s="5">
        <v>40</v>
      </c>
      <c r="B46" s="6">
        <v>45744</v>
      </c>
      <c r="C46" s="4" t="s">
        <v>69</v>
      </c>
      <c r="D46" s="7">
        <v>6000</v>
      </c>
    </row>
    <row r="47" spans="1:6" x14ac:dyDescent="0.35">
      <c r="A47" s="5">
        <v>41</v>
      </c>
      <c r="B47" s="6">
        <v>45744</v>
      </c>
      <c r="C47" s="4" t="s">
        <v>70</v>
      </c>
      <c r="D47" s="7">
        <v>12000</v>
      </c>
    </row>
    <row r="48" spans="1:6" x14ac:dyDescent="0.35">
      <c r="A48" s="5">
        <v>42</v>
      </c>
      <c r="B48" s="6">
        <v>45749</v>
      </c>
      <c r="C48" s="4" t="s">
        <v>43</v>
      </c>
      <c r="D48" s="7">
        <v>25000</v>
      </c>
      <c r="F48" t="s">
        <v>34</v>
      </c>
    </row>
    <row r="49" spans="1:6" x14ac:dyDescent="0.35">
      <c r="A49" s="5">
        <v>43</v>
      </c>
      <c r="B49" s="6">
        <v>45749</v>
      </c>
      <c r="C49" s="4" t="s">
        <v>81</v>
      </c>
      <c r="D49" s="7">
        <v>50000</v>
      </c>
      <c r="F49" t="s">
        <v>34</v>
      </c>
    </row>
    <row r="50" spans="1:6" x14ac:dyDescent="0.35">
      <c r="A50" s="5">
        <v>44</v>
      </c>
      <c r="B50" s="6">
        <v>45752</v>
      </c>
      <c r="C50" s="4" t="s">
        <v>66</v>
      </c>
      <c r="D50" s="7">
        <v>25000</v>
      </c>
      <c r="F50" t="s">
        <v>82</v>
      </c>
    </row>
    <row r="51" spans="1:6" x14ac:dyDescent="0.35">
      <c r="A51" s="5">
        <v>45</v>
      </c>
      <c r="B51" s="6">
        <v>45755</v>
      </c>
      <c r="C51" s="4" t="s">
        <v>83</v>
      </c>
      <c r="D51" s="7">
        <v>91710</v>
      </c>
      <c r="F51" t="s">
        <v>84</v>
      </c>
    </row>
    <row r="52" spans="1:6" x14ac:dyDescent="0.35">
      <c r="A52" s="5">
        <v>46</v>
      </c>
      <c r="B52" s="6">
        <v>45755</v>
      </c>
      <c r="C52" s="4" t="s">
        <v>35</v>
      </c>
      <c r="D52" s="29">
        <v>250000</v>
      </c>
    </row>
    <row r="53" spans="1:6" x14ac:dyDescent="0.35">
      <c r="A53" s="5">
        <v>47</v>
      </c>
      <c r="B53" s="6">
        <v>45762</v>
      </c>
      <c r="C53" s="4" t="s">
        <v>66</v>
      </c>
      <c r="D53" s="7">
        <v>10000</v>
      </c>
    </row>
    <row r="54" spans="1:6" x14ac:dyDescent="0.35">
      <c r="A54" s="5">
        <v>48</v>
      </c>
      <c r="B54" s="6">
        <v>45765</v>
      </c>
      <c r="C54" s="4" t="s">
        <v>35</v>
      </c>
      <c r="D54" s="29">
        <v>200000</v>
      </c>
    </row>
    <row r="55" spans="1:6" x14ac:dyDescent="0.35">
      <c r="A55" s="5">
        <v>49</v>
      </c>
      <c r="B55" s="6">
        <v>45765</v>
      </c>
      <c r="C55" s="4" t="s">
        <v>35</v>
      </c>
      <c r="D55" s="29">
        <v>200000</v>
      </c>
    </row>
    <row r="56" spans="1:6" x14ac:dyDescent="0.35">
      <c r="A56" s="5">
        <v>50</v>
      </c>
      <c r="B56" s="6">
        <v>45765</v>
      </c>
      <c r="C56" s="4" t="s">
        <v>35</v>
      </c>
      <c r="D56" s="29">
        <v>240000</v>
      </c>
    </row>
    <row r="57" spans="1:6" x14ac:dyDescent="0.35">
      <c r="A57" s="5">
        <v>51</v>
      </c>
      <c r="B57" s="6">
        <v>45775</v>
      </c>
      <c r="C57" s="4" t="s">
        <v>66</v>
      </c>
      <c r="D57" s="7">
        <v>10000</v>
      </c>
      <c r="F57" t="s">
        <v>85</v>
      </c>
    </row>
    <row r="58" spans="1:6" x14ac:dyDescent="0.35">
      <c r="A58" s="5">
        <v>52</v>
      </c>
      <c r="B58" s="6">
        <v>45784</v>
      </c>
      <c r="C58" s="4" t="s">
        <v>66</v>
      </c>
      <c r="D58" s="7">
        <v>31500</v>
      </c>
      <c r="F58" t="s">
        <v>86</v>
      </c>
    </row>
    <row r="59" spans="1:6" x14ac:dyDescent="0.35">
      <c r="A59" s="5">
        <v>53</v>
      </c>
      <c r="B59" s="6">
        <v>45785</v>
      </c>
      <c r="C59" s="4" t="s">
        <v>44</v>
      </c>
      <c r="D59" s="7">
        <v>25000</v>
      </c>
      <c r="F59" t="s">
        <v>89</v>
      </c>
    </row>
    <row r="60" spans="1:6" x14ac:dyDescent="0.35">
      <c r="A60" s="5">
        <v>54</v>
      </c>
      <c r="B60" s="6">
        <v>45786</v>
      </c>
      <c r="C60" s="4" t="s">
        <v>90</v>
      </c>
      <c r="D60" s="7">
        <v>17500</v>
      </c>
      <c r="F60" t="s">
        <v>91</v>
      </c>
    </row>
    <row r="61" spans="1:6" x14ac:dyDescent="0.35">
      <c r="A61" s="5">
        <v>55</v>
      </c>
      <c r="B61" s="6">
        <v>45786</v>
      </c>
      <c r="C61" s="4" t="s">
        <v>94</v>
      </c>
      <c r="D61" s="7">
        <v>21719</v>
      </c>
      <c r="F61" t="s">
        <v>92</v>
      </c>
    </row>
    <row r="62" spans="1:6" x14ac:dyDescent="0.35">
      <c r="A62" s="5">
        <v>56</v>
      </c>
      <c r="B62" s="6">
        <v>45791</v>
      </c>
      <c r="C62" s="4" t="s">
        <v>95</v>
      </c>
      <c r="D62" s="7">
        <v>91000</v>
      </c>
      <c r="F62" t="s">
        <v>93</v>
      </c>
    </row>
    <row r="63" spans="1:6" x14ac:dyDescent="0.35">
      <c r="A63" s="5">
        <v>57</v>
      </c>
      <c r="B63" s="6">
        <v>45792</v>
      </c>
      <c r="C63" s="4" t="s">
        <v>68</v>
      </c>
      <c r="D63" s="7">
        <v>20000</v>
      </c>
      <c r="F63" t="s">
        <v>97</v>
      </c>
    </row>
    <row r="64" spans="1:6" x14ac:dyDescent="0.35">
      <c r="A64" s="5">
        <v>58</v>
      </c>
      <c r="B64" s="6">
        <v>45793</v>
      </c>
      <c r="C64" s="4" t="s">
        <v>96</v>
      </c>
      <c r="D64" s="7">
        <v>45580</v>
      </c>
      <c r="F64" t="s">
        <v>98</v>
      </c>
    </row>
    <row r="65" spans="1:6" x14ac:dyDescent="0.35">
      <c r="A65" s="5">
        <v>59</v>
      </c>
      <c r="B65" s="6">
        <v>45798</v>
      </c>
      <c r="C65" s="4" t="s">
        <v>44</v>
      </c>
      <c r="D65" s="7">
        <v>75000</v>
      </c>
      <c r="F65" t="s">
        <v>99</v>
      </c>
    </row>
    <row r="66" spans="1:6" x14ac:dyDescent="0.35">
      <c r="A66" s="5">
        <v>60</v>
      </c>
      <c r="B66" s="6">
        <v>45799</v>
      </c>
      <c r="C66" s="4" t="s">
        <v>35</v>
      </c>
      <c r="D66" s="29">
        <v>400000</v>
      </c>
      <c r="F66" t="s">
        <v>99</v>
      </c>
    </row>
    <row r="67" spans="1:6" x14ac:dyDescent="0.35">
      <c r="A67" s="5">
        <v>61</v>
      </c>
      <c r="B67" s="6">
        <v>45804</v>
      </c>
      <c r="C67" s="4" t="s">
        <v>90</v>
      </c>
      <c r="D67" s="7">
        <v>46000</v>
      </c>
      <c r="F67" t="s">
        <v>100</v>
      </c>
    </row>
    <row r="68" spans="1:6" x14ac:dyDescent="0.35">
      <c r="A68" s="5">
        <v>62</v>
      </c>
      <c r="B68" s="6">
        <v>45816</v>
      </c>
      <c r="C68" s="4" t="s">
        <v>44</v>
      </c>
      <c r="D68" s="7">
        <v>30000</v>
      </c>
    </row>
    <row r="69" spans="1:6" x14ac:dyDescent="0.35">
      <c r="A69" s="5">
        <v>63</v>
      </c>
      <c r="B69" s="6">
        <v>45818</v>
      </c>
      <c r="C69" s="4" t="s">
        <v>112</v>
      </c>
      <c r="D69" s="7">
        <v>33940</v>
      </c>
      <c r="F69" t="s">
        <v>111</v>
      </c>
    </row>
    <row r="70" spans="1:6" x14ac:dyDescent="0.35">
      <c r="A70" s="5">
        <v>64</v>
      </c>
      <c r="B70" s="6">
        <v>45821</v>
      </c>
      <c r="C70" s="4" t="s">
        <v>113</v>
      </c>
      <c r="D70" s="7">
        <v>400000</v>
      </c>
    </row>
    <row r="71" spans="1:6" x14ac:dyDescent="0.35">
      <c r="A71" s="5">
        <v>65</v>
      </c>
      <c r="B71" s="6">
        <v>45846</v>
      </c>
      <c r="C71" s="4" t="s">
        <v>113</v>
      </c>
      <c r="D71" s="60">
        <v>350000</v>
      </c>
    </row>
    <row r="72" spans="1:6" x14ac:dyDescent="0.35">
      <c r="A72" s="5">
        <v>66</v>
      </c>
      <c r="B72" s="6">
        <v>45871</v>
      </c>
      <c r="C72" s="4" t="s">
        <v>81</v>
      </c>
      <c r="D72" s="7">
        <v>50000</v>
      </c>
    </row>
    <row r="73" spans="1:6" x14ac:dyDescent="0.35">
      <c r="A73" s="5">
        <v>67</v>
      </c>
      <c r="B73" s="6">
        <v>45904</v>
      </c>
      <c r="C73" s="4" t="s">
        <v>81</v>
      </c>
      <c r="D73" s="7">
        <v>50000</v>
      </c>
    </row>
    <row r="74" spans="1:6" x14ac:dyDescent="0.35">
      <c r="A74" s="5">
        <v>68</v>
      </c>
      <c r="B74" s="6">
        <v>45909</v>
      </c>
      <c r="C74" s="4" t="s">
        <v>131</v>
      </c>
      <c r="D74" s="60">
        <v>500000</v>
      </c>
    </row>
    <row r="75" spans="1:6" x14ac:dyDescent="0.35">
      <c r="A75" s="5">
        <v>69</v>
      </c>
      <c r="B75" s="6">
        <v>45919</v>
      </c>
      <c r="C75" s="4" t="s">
        <v>131</v>
      </c>
      <c r="D75" s="60">
        <v>500000</v>
      </c>
    </row>
    <row r="76" spans="1:6" x14ac:dyDescent="0.35">
      <c r="A76" s="5">
        <v>70</v>
      </c>
      <c r="B76" s="6">
        <v>45919</v>
      </c>
      <c r="C76" s="4" t="s">
        <v>142</v>
      </c>
      <c r="D76" s="7">
        <v>19500</v>
      </c>
    </row>
    <row r="77" spans="1:6" x14ac:dyDescent="0.35">
      <c r="A77" s="5">
        <v>71</v>
      </c>
      <c r="B77" s="6">
        <v>45920</v>
      </c>
      <c r="C77" s="4" t="s">
        <v>142</v>
      </c>
      <c r="D77" s="7">
        <v>19500</v>
      </c>
    </row>
    <row r="78" spans="1:6" x14ac:dyDescent="0.35">
      <c r="A78" s="5">
        <v>72</v>
      </c>
      <c r="B78" s="6">
        <v>45931</v>
      </c>
      <c r="C78" s="4" t="s">
        <v>132</v>
      </c>
      <c r="D78" s="7">
        <v>50000</v>
      </c>
    </row>
    <row r="79" spans="1:6" x14ac:dyDescent="0.35">
      <c r="A79" s="5">
        <v>73</v>
      </c>
      <c r="B79" s="6">
        <v>45941</v>
      </c>
      <c r="C79" s="4" t="s">
        <v>143</v>
      </c>
      <c r="D79" s="7">
        <v>80374</v>
      </c>
    </row>
    <row r="80" spans="1:6" x14ac:dyDescent="0.35">
      <c r="A80" s="5">
        <v>74</v>
      </c>
      <c r="B80" s="6">
        <v>45944</v>
      </c>
      <c r="C80" s="4" t="s">
        <v>133</v>
      </c>
      <c r="D80" s="7">
        <v>20000</v>
      </c>
    </row>
    <row r="81" spans="1:6" x14ac:dyDescent="0.35">
      <c r="A81" s="5">
        <v>75</v>
      </c>
      <c r="B81" s="6">
        <v>45948</v>
      </c>
      <c r="C81" s="4" t="s">
        <v>161</v>
      </c>
      <c r="D81" s="7">
        <v>47500</v>
      </c>
    </row>
    <row r="82" spans="1:6" x14ac:dyDescent="0.35">
      <c r="A82" s="5">
        <v>76</v>
      </c>
      <c r="B82" s="6">
        <v>45954</v>
      </c>
      <c r="C82" s="4" t="s">
        <v>135</v>
      </c>
      <c r="D82" s="60">
        <v>120000</v>
      </c>
    </row>
    <row r="83" spans="1:6" x14ac:dyDescent="0.35">
      <c r="A83" s="5">
        <v>77</v>
      </c>
      <c r="B83" s="6">
        <v>45958</v>
      </c>
      <c r="C83" s="4" t="s">
        <v>139</v>
      </c>
      <c r="D83" s="7">
        <v>10000</v>
      </c>
    </row>
    <row r="84" spans="1:6" x14ac:dyDescent="0.35">
      <c r="A84" s="5">
        <v>78</v>
      </c>
      <c r="B84" s="6">
        <v>45959</v>
      </c>
      <c r="C84" s="4" t="s">
        <v>140</v>
      </c>
      <c r="D84" s="7">
        <v>40000</v>
      </c>
    </row>
    <row r="85" spans="1:6" x14ac:dyDescent="0.35">
      <c r="A85" s="5">
        <v>79</v>
      </c>
      <c r="B85" s="6">
        <v>45959</v>
      </c>
      <c r="C85" s="4" t="s">
        <v>144</v>
      </c>
      <c r="D85" s="7">
        <v>19800</v>
      </c>
      <c r="F85" t="s">
        <v>141</v>
      </c>
    </row>
    <row r="86" spans="1:6" x14ac:dyDescent="0.35">
      <c r="A86" s="5">
        <v>80</v>
      </c>
      <c r="B86" s="6">
        <v>45960</v>
      </c>
      <c r="C86" s="4" t="s">
        <v>137</v>
      </c>
      <c r="D86" s="7">
        <v>100000</v>
      </c>
    </row>
    <row r="87" spans="1:6" x14ac:dyDescent="0.35">
      <c r="A87" s="5">
        <v>81</v>
      </c>
      <c r="B87" s="6">
        <v>45961</v>
      </c>
      <c r="C87" s="4" t="s">
        <v>147</v>
      </c>
      <c r="D87" s="29">
        <v>120000</v>
      </c>
    </row>
    <row r="88" spans="1:6" x14ac:dyDescent="0.35">
      <c r="A88" s="5">
        <v>82</v>
      </c>
      <c r="B88" s="6">
        <v>45967</v>
      </c>
      <c r="C88" s="4" t="s">
        <v>136</v>
      </c>
      <c r="D88" s="7">
        <v>37000</v>
      </c>
    </row>
    <row r="89" spans="1:6" x14ac:dyDescent="0.35">
      <c r="A89" s="5">
        <v>83</v>
      </c>
      <c r="B89" s="6">
        <v>45971</v>
      </c>
      <c r="C89" s="4" t="s">
        <v>138</v>
      </c>
      <c r="D89" s="7">
        <v>8300</v>
      </c>
    </row>
    <row r="90" spans="1:6" x14ac:dyDescent="0.35">
      <c r="A90" s="5">
        <v>84</v>
      </c>
      <c r="B90" s="6">
        <v>45973</v>
      </c>
      <c r="C90" s="4" t="s">
        <v>146</v>
      </c>
      <c r="D90" s="7">
        <v>26965</v>
      </c>
    </row>
    <row r="91" spans="1:6" x14ac:dyDescent="0.35">
      <c r="A91" s="5">
        <v>85</v>
      </c>
      <c r="B91" s="6">
        <v>45975</v>
      </c>
      <c r="C91" s="4" t="s">
        <v>145</v>
      </c>
      <c r="D91" s="7">
        <v>65000</v>
      </c>
    </row>
    <row r="92" spans="1:6" x14ac:dyDescent="0.35">
      <c r="A92" s="5">
        <v>86</v>
      </c>
      <c r="B92" s="6">
        <v>45981</v>
      </c>
      <c r="C92" s="4" t="s">
        <v>150</v>
      </c>
      <c r="D92" s="60">
        <v>75000</v>
      </c>
    </row>
    <row r="93" spans="1:6" x14ac:dyDescent="0.35">
      <c r="A93" s="5">
        <v>87</v>
      </c>
      <c r="B93" s="6">
        <v>45982</v>
      </c>
      <c r="C93" s="4" t="s">
        <v>149</v>
      </c>
      <c r="D93" s="60">
        <v>95000</v>
      </c>
    </row>
    <row r="94" spans="1:6" x14ac:dyDescent="0.35">
      <c r="A94" s="5">
        <v>88</v>
      </c>
      <c r="B94" s="6">
        <v>45987</v>
      </c>
      <c r="C94" s="4" t="s">
        <v>159</v>
      </c>
      <c r="D94" s="7">
        <v>30000</v>
      </c>
    </row>
    <row r="95" spans="1:6" x14ac:dyDescent="0.35">
      <c r="A95" s="5">
        <v>89</v>
      </c>
      <c r="B95" s="6">
        <v>45988</v>
      </c>
      <c r="C95" s="4" t="s">
        <v>150</v>
      </c>
      <c r="D95" s="60">
        <v>100000</v>
      </c>
    </row>
    <row r="96" spans="1:6" x14ac:dyDescent="0.35">
      <c r="A96" s="5">
        <v>90</v>
      </c>
      <c r="B96" s="6">
        <v>45996</v>
      </c>
      <c r="C96" s="4" t="s">
        <v>162</v>
      </c>
      <c r="D96" s="7">
        <v>9000</v>
      </c>
    </row>
    <row r="97" spans="1:4" x14ac:dyDescent="0.35">
      <c r="A97" s="5">
        <v>91</v>
      </c>
      <c r="B97" s="6">
        <v>45996</v>
      </c>
      <c r="C97" s="4" t="s">
        <v>165</v>
      </c>
      <c r="D97" s="7">
        <v>26000</v>
      </c>
    </row>
    <row r="98" spans="1:4" x14ac:dyDescent="0.35">
      <c r="A98" s="5">
        <v>92</v>
      </c>
      <c r="B98" s="6">
        <v>45999</v>
      </c>
      <c r="C98" s="4" t="s">
        <v>163</v>
      </c>
      <c r="D98" s="7">
        <v>30000</v>
      </c>
    </row>
    <row r="99" spans="1:4" x14ac:dyDescent="0.35">
      <c r="A99" s="5">
        <v>93</v>
      </c>
      <c r="B99" s="6">
        <v>46013</v>
      </c>
      <c r="C99" s="4" t="s">
        <v>164</v>
      </c>
      <c r="D99" s="7">
        <v>38000</v>
      </c>
    </row>
    <row r="100" spans="1:4" x14ac:dyDescent="0.35">
      <c r="A100" s="5">
        <v>94</v>
      </c>
      <c r="B100" s="6">
        <v>46058</v>
      </c>
      <c r="C100" s="4" t="s">
        <v>189</v>
      </c>
      <c r="D100" s="7">
        <v>51664</v>
      </c>
    </row>
    <row r="101" spans="1:4" x14ac:dyDescent="0.35">
      <c r="A101" s="4"/>
      <c r="B101" s="4"/>
      <c r="C101" s="4"/>
      <c r="D101" s="7"/>
    </row>
    <row r="102" spans="1:4" x14ac:dyDescent="0.35">
      <c r="A102" s="19"/>
      <c r="B102" s="20"/>
      <c r="C102" s="22" t="s">
        <v>28</v>
      </c>
      <c r="D102" s="21">
        <f>SUM(D7:D101)</f>
        <v>6816302</v>
      </c>
    </row>
    <row r="104" spans="1:4" x14ac:dyDescent="0.35">
      <c r="D104" s="7"/>
    </row>
    <row r="105" spans="1:4" x14ac:dyDescent="0.35">
      <c r="C105" t="s">
        <v>151</v>
      </c>
      <c r="D105" s="24">
        <v>6841484</v>
      </c>
    </row>
    <row r="106" spans="1:4" x14ac:dyDescent="0.35">
      <c r="C106" t="s">
        <v>50</v>
      </c>
      <c r="D106" s="23">
        <f>-D102</f>
        <v>-6816302</v>
      </c>
    </row>
    <row r="107" spans="1:4" x14ac:dyDescent="0.35">
      <c r="C107" s="25" t="s">
        <v>51</v>
      </c>
      <c r="D107" s="17">
        <f>SUM(D105:D106)</f>
        <v>25182</v>
      </c>
    </row>
  </sheetData>
  <mergeCells count="3">
    <mergeCell ref="A1:D1"/>
    <mergeCell ref="C2:D2"/>
    <mergeCell ref="A3:D3"/>
  </mergeCells>
  <pageMargins left="0.7" right="0.7" top="0.39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zoomScale="85" zoomScaleNormal="85" workbookViewId="0">
      <pane ySplit="6" topLeftCell="A19" activePane="bottomLeft" state="frozen"/>
      <selection pane="bottomLeft" activeCell="F27" sqref="F27:F33"/>
    </sheetView>
  </sheetViews>
  <sheetFormatPr defaultRowHeight="14.5" x14ac:dyDescent="0.35"/>
  <cols>
    <col min="1" max="1" width="5.26953125" customWidth="1"/>
    <col min="2" max="2" width="10.7265625" customWidth="1"/>
    <col min="3" max="3" width="48" customWidth="1"/>
    <col min="4" max="6" width="16.54296875" customWidth="1"/>
    <col min="7" max="7" width="11.36328125" customWidth="1"/>
    <col min="8" max="8" width="10.90625" customWidth="1"/>
    <col min="9" max="9" width="12.7265625" customWidth="1"/>
  </cols>
  <sheetData>
    <row r="1" spans="1:14" ht="21" x14ac:dyDescent="0.35">
      <c r="A1" s="116" t="s">
        <v>10</v>
      </c>
      <c r="B1" s="117"/>
      <c r="C1" s="117"/>
      <c r="D1" s="117"/>
      <c r="E1" s="118"/>
      <c r="F1" s="129"/>
      <c r="J1" s="18"/>
      <c r="K1" s="18"/>
      <c r="L1" s="18"/>
      <c r="M1" s="18"/>
      <c r="N1" s="18"/>
    </row>
    <row r="2" spans="1:14" ht="15.5" x14ac:dyDescent="0.35">
      <c r="A2" s="48" t="s">
        <v>0</v>
      </c>
      <c r="B2" s="48"/>
      <c r="C2" s="49" t="s">
        <v>107</v>
      </c>
      <c r="D2" s="50"/>
      <c r="E2" s="51"/>
      <c r="F2" s="129"/>
    </row>
    <row r="3" spans="1:14" ht="15.5" x14ac:dyDescent="0.35">
      <c r="A3" s="111" t="s">
        <v>108</v>
      </c>
      <c r="B3" s="111"/>
      <c r="C3" s="111"/>
      <c r="D3" s="111"/>
      <c r="E3" s="111"/>
      <c r="F3" s="130"/>
    </row>
    <row r="4" spans="1:14" ht="15.5" x14ac:dyDescent="0.35">
      <c r="A4" s="109" t="s">
        <v>110</v>
      </c>
      <c r="B4" s="110"/>
      <c r="C4" s="110"/>
      <c r="D4" s="110"/>
      <c r="E4" s="119"/>
      <c r="F4" s="93" t="s">
        <v>25</v>
      </c>
    </row>
    <row r="5" spans="1:14" ht="15.5" x14ac:dyDescent="0.35">
      <c r="A5" s="3" t="s">
        <v>4</v>
      </c>
      <c r="B5" s="3" t="s">
        <v>5</v>
      </c>
      <c r="C5" s="3" t="s">
        <v>6</v>
      </c>
      <c r="D5" s="126" t="s">
        <v>11</v>
      </c>
      <c r="E5" s="127"/>
      <c r="F5" s="94"/>
      <c r="G5" s="90" t="s">
        <v>18</v>
      </c>
      <c r="H5" s="90"/>
      <c r="I5" s="90"/>
      <c r="J5" s="90"/>
    </row>
    <row r="6" spans="1:14" ht="18.649999999999999" customHeight="1" x14ac:dyDescent="0.35">
      <c r="A6" s="4"/>
      <c r="B6" s="4"/>
      <c r="C6" s="4"/>
      <c r="D6" s="13" t="s">
        <v>23</v>
      </c>
      <c r="E6" s="13" t="s">
        <v>24</v>
      </c>
      <c r="F6" s="95"/>
      <c r="G6" t="s">
        <v>75</v>
      </c>
      <c r="H6" t="s">
        <v>76</v>
      </c>
      <c r="I6" t="s">
        <v>103</v>
      </c>
      <c r="J6" t="s">
        <v>101</v>
      </c>
    </row>
    <row r="7" spans="1:14" ht="18.649999999999999" hidden="1" customHeight="1" x14ac:dyDescent="0.35">
      <c r="A7" s="5">
        <v>1</v>
      </c>
      <c r="B7" s="10">
        <v>45504</v>
      </c>
      <c r="C7" s="8" t="s">
        <v>12</v>
      </c>
      <c r="D7" s="7"/>
      <c r="E7" s="15"/>
      <c r="F7" s="36"/>
      <c r="G7" s="89" t="s">
        <v>19</v>
      </c>
      <c r="H7" s="9">
        <v>30000</v>
      </c>
      <c r="I7" s="30"/>
    </row>
    <row r="8" spans="1:14" ht="18.649999999999999" hidden="1" customHeight="1" x14ac:dyDescent="0.35">
      <c r="A8" s="5">
        <v>2</v>
      </c>
      <c r="B8" s="10">
        <v>45507</v>
      </c>
      <c r="C8" s="8" t="s">
        <v>13</v>
      </c>
      <c r="D8" s="7"/>
      <c r="E8" s="15"/>
      <c r="F8" s="36"/>
      <c r="G8" s="89"/>
      <c r="H8" s="9">
        <v>30000</v>
      </c>
      <c r="I8" s="30"/>
    </row>
    <row r="9" spans="1:14" ht="18.649999999999999" hidden="1" customHeight="1" x14ac:dyDescent="0.35">
      <c r="A9" s="5">
        <v>3</v>
      </c>
      <c r="B9" s="10">
        <v>45524</v>
      </c>
      <c r="C9" s="8" t="s">
        <v>14</v>
      </c>
      <c r="D9" s="7"/>
      <c r="E9" s="15"/>
      <c r="F9" s="36"/>
      <c r="G9" s="89"/>
      <c r="H9" s="9">
        <v>10000</v>
      </c>
      <c r="I9" s="30"/>
    </row>
    <row r="10" spans="1:14" x14ac:dyDescent="0.35">
      <c r="A10" s="38">
        <v>1</v>
      </c>
      <c r="B10" s="39">
        <v>45800</v>
      </c>
      <c r="C10" s="40" t="s">
        <v>109</v>
      </c>
      <c r="D10" s="41"/>
      <c r="E10" s="41">
        <v>319250</v>
      </c>
      <c r="F10" s="120">
        <f>SUM(D10:E15)</f>
        <v>1960248</v>
      </c>
      <c r="G10" s="42"/>
    </row>
    <row r="11" spans="1:14" x14ac:dyDescent="0.35">
      <c r="A11" s="38">
        <v>2</v>
      </c>
      <c r="B11" s="39">
        <v>45817</v>
      </c>
      <c r="C11" s="40" t="s">
        <v>115</v>
      </c>
      <c r="D11" s="41"/>
      <c r="E11" s="41">
        <v>638470</v>
      </c>
      <c r="F11" s="121"/>
      <c r="G11" s="42"/>
    </row>
    <row r="12" spans="1:14" x14ac:dyDescent="0.35">
      <c r="A12" s="38">
        <v>3</v>
      </c>
      <c r="B12" s="39">
        <v>45869</v>
      </c>
      <c r="C12" s="40" t="s">
        <v>116</v>
      </c>
      <c r="D12" s="53">
        <v>7</v>
      </c>
      <c r="E12" s="41"/>
      <c r="F12" s="121"/>
      <c r="G12" s="128" t="s">
        <v>117</v>
      </c>
    </row>
    <row r="13" spans="1:14" x14ac:dyDescent="0.35">
      <c r="A13" s="38">
        <v>4</v>
      </c>
      <c r="B13" s="39">
        <v>45869</v>
      </c>
      <c r="C13" s="40" t="s">
        <v>116</v>
      </c>
      <c r="D13" s="53">
        <v>199993</v>
      </c>
      <c r="E13" s="41"/>
      <c r="F13" s="121"/>
      <c r="G13" s="128"/>
    </row>
    <row r="14" spans="1:14" x14ac:dyDescent="0.35">
      <c r="A14" s="38">
        <v>5</v>
      </c>
      <c r="B14" s="39">
        <v>45870</v>
      </c>
      <c r="C14" s="40" t="s">
        <v>116</v>
      </c>
      <c r="D14" s="53">
        <v>300320</v>
      </c>
      <c r="E14" s="41"/>
      <c r="F14" s="121"/>
      <c r="G14" s="128"/>
      <c r="H14" s="27">
        <v>45869</v>
      </c>
      <c r="I14" s="24">
        <v>500320</v>
      </c>
    </row>
    <row r="15" spans="1:14" x14ac:dyDescent="0.35">
      <c r="A15" s="38">
        <v>6</v>
      </c>
      <c r="B15" s="27">
        <v>45875</v>
      </c>
      <c r="C15" s="42" t="s">
        <v>125</v>
      </c>
      <c r="D15" s="53">
        <v>502208</v>
      </c>
      <c r="E15" s="41"/>
      <c r="F15" s="122"/>
      <c r="G15" s="42" t="s">
        <v>125</v>
      </c>
      <c r="H15" s="27">
        <v>45875</v>
      </c>
      <c r="I15" s="24">
        <v>502208</v>
      </c>
    </row>
    <row r="16" spans="1:14" x14ac:dyDescent="0.35">
      <c r="A16" s="38">
        <v>7</v>
      </c>
      <c r="B16" s="39">
        <v>45880</v>
      </c>
      <c r="C16" s="40" t="s">
        <v>126</v>
      </c>
      <c r="D16" s="53"/>
      <c r="E16" s="41">
        <v>150000</v>
      </c>
      <c r="F16" s="120">
        <f>SUM(D16:E17)</f>
        <v>470000</v>
      </c>
      <c r="G16" s="43"/>
      <c r="I16" s="24"/>
    </row>
    <row r="17" spans="1:10" x14ac:dyDescent="0.35">
      <c r="A17" s="38">
        <v>8</v>
      </c>
      <c r="B17" s="39">
        <v>45929</v>
      </c>
      <c r="C17" s="40" t="s">
        <v>126</v>
      </c>
      <c r="D17" s="53"/>
      <c r="E17" s="41">
        <v>320000</v>
      </c>
      <c r="F17" s="122"/>
      <c r="G17" s="42"/>
      <c r="H17" s="27"/>
      <c r="I17" s="24"/>
    </row>
    <row r="18" spans="1:10" x14ac:dyDescent="0.35">
      <c r="A18" s="38">
        <v>9</v>
      </c>
      <c r="B18" s="39">
        <v>45945</v>
      </c>
      <c r="C18" s="40" t="s">
        <v>153</v>
      </c>
      <c r="D18" s="53">
        <v>500320</v>
      </c>
      <c r="E18" s="41"/>
      <c r="F18" s="120">
        <f>SUM(D18:E19)</f>
        <v>875560</v>
      </c>
      <c r="G18" s="42" t="s">
        <v>152</v>
      </c>
      <c r="H18" s="27">
        <v>45943</v>
      </c>
      <c r="I18" s="24">
        <v>502208</v>
      </c>
    </row>
    <row r="19" spans="1:10" x14ac:dyDescent="0.35">
      <c r="A19" s="38">
        <v>10</v>
      </c>
      <c r="B19" s="39">
        <v>46008</v>
      </c>
      <c r="C19" s="40" t="s">
        <v>154</v>
      </c>
      <c r="D19" s="53">
        <v>375240</v>
      </c>
      <c r="E19" s="41"/>
      <c r="F19" s="122"/>
      <c r="G19" s="42" t="s">
        <v>155</v>
      </c>
      <c r="H19" s="27">
        <v>46008</v>
      </c>
      <c r="I19" s="24">
        <v>375240</v>
      </c>
      <c r="J19" s="27"/>
    </row>
    <row r="20" spans="1:10" x14ac:dyDescent="0.35">
      <c r="A20" s="38">
        <v>11</v>
      </c>
      <c r="B20" s="39">
        <v>46013</v>
      </c>
      <c r="C20" s="40" t="s">
        <v>156</v>
      </c>
      <c r="D20" s="41"/>
      <c r="E20" s="41">
        <v>300000</v>
      </c>
      <c r="F20" s="120">
        <f>SUM(D20:E23)</f>
        <v>999900</v>
      </c>
      <c r="G20" s="44"/>
      <c r="H20" s="27"/>
      <c r="I20" s="24"/>
    </row>
    <row r="21" spans="1:10" x14ac:dyDescent="0.35">
      <c r="A21" s="38">
        <v>12</v>
      </c>
      <c r="B21" s="39">
        <v>46021</v>
      </c>
      <c r="C21" s="40" t="s">
        <v>157</v>
      </c>
      <c r="D21" s="41"/>
      <c r="E21" s="41">
        <v>49900</v>
      </c>
      <c r="F21" s="121"/>
      <c r="G21" s="44"/>
      <c r="H21" s="27"/>
      <c r="I21" s="24"/>
    </row>
    <row r="22" spans="1:10" x14ac:dyDescent="0.35">
      <c r="A22" s="38">
        <v>13</v>
      </c>
      <c r="B22" s="39">
        <v>46021</v>
      </c>
      <c r="C22" s="40" t="s">
        <v>158</v>
      </c>
      <c r="D22" s="41"/>
      <c r="E22" s="41">
        <v>150000</v>
      </c>
      <c r="F22" s="121"/>
      <c r="G22" s="42"/>
    </row>
    <row r="23" spans="1:10" x14ac:dyDescent="0.35">
      <c r="A23" s="38">
        <v>14</v>
      </c>
      <c r="B23" s="39">
        <v>46031</v>
      </c>
      <c r="C23" s="40" t="s">
        <v>166</v>
      </c>
      <c r="D23" s="53">
        <v>500000</v>
      </c>
      <c r="E23" s="41"/>
      <c r="F23" s="122"/>
      <c r="G23" s="42"/>
    </row>
    <row r="24" spans="1:10" x14ac:dyDescent="0.35">
      <c r="A24" s="38">
        <v>15</v>
      </c>
      <c r="B24" s="39">
        <v>46057</v>
      </c>
      <c r="C24" s="40" t="s">
        <v>167</v>
      </c>
      <c r="D24" s="41"/>
      <c r="E24" s="41">
        <v>300000</v>
      </c>
      <c r="F24" s="123">
        <f>SUM(D24:E26)</f>
        <v>950320</v>
      </c>
      <c r="G24" s="45"/>
    </row>
    <row r="25" spans="1:10" x14ac:dyDescent="0.35">
      <c r="A25" s="38">
        <v>16</v>
      </c>
      <c r="B25" s="39">
        <v>46082</v>
      </c>
      <c r="C25" s="57" t="s">
        <v>178</v>
      </c>
      <c r="D25" s="29"/>
      <c r="E25" s="29">
        <v>150000</v>
      </c>
      <c r="F25" s="124"/>
      <c r="G25" s="42"/>
    </row>
    <row r="26" spans="1:10" x14ac:dyDescent="0.35">
      <c r="A26" s="38">
        <v>17</v>
      </c>
      <c r="B26" s="39">
        <v>46083</v>
      </c>
      <c r="C26" s="40" t="s">
        <v>179</v>
      </c>
      <c r="D26" s="53">
        <v>500320</v>
      </c>
      <c r="E26" s="41"/>
      <c r="F26" s="125"/>
      <c r="G26" s="42"/>
    </row>
    <row r="27" spans="1:10" x14ac:dyDescent="0.35">
      <c r="A27" s="38">
        <v>18</v>
      </c>
      <c r="B27" s="39">
        <v>46097</v>
      </c>
      <c r="C27" s="40" t="s">
        <v>182</v>
      </c>
      <c r="D27" s="40"/>
      <c r="E27" s="41">
        <v>100000</v>
      </c>
      <c r="F27" s="112">
        <f>SUM(D27:E33)</f>
        <v>674075</v>
      </c>
      <c r="G27" s="42"/>
    </row>
    <row r="28" spans="1:10" x14ac:dyDescent="0.35">
      <c r="A28" s="38">
        <v>19</v>
      </c>
      <c r="B28" s="39">
        <v>46107</v>
      </c>
      <c r="C28" s="40" t="s">
        <v>190</v>
      </c>
      <c r="D28" s="41"/>
      <c r="E28" s="41">
        <v>21375</v>
      </c>
      <c r="F28" s="113"/>
      <c r="G28" s="115"/>
    </row>
    <row r="29" spans="1:10" x14ac:dyDescent="0.35">
      <c r="A29" s="38">
        <v>20</v>
      </c>
      <c r="B29" s="39">
        <v>46111</v>
      </c>
      <c r="C29" s="40" t="s">
        <v>197</v>
      </c>
      <c r="D29" s="41"/>
      <c r="E29" s="41">
        <v>150000</v>
      </c>
      <c r="F29" s="113"/>
      <c r="G29" s="115"/>
    </row>
    <row r="30" spans="1:10" x14ac:dyDescent="0.35">
      <c r="A30" s="38">
        <v>21</v>
      </c>
      <c r="B30" s="39">
        <v>46121</v>
      </c>
      <c r="C30" s="40" t="s">
        <v>198</v>
      </c>
      <c r="D30" s="41"/>
      <c r="E30" s="41">
        <v>40000</v>
      </c>
      <c r="F30" s="113"/>
      <c r="G30" s="115"/>
    </row>
    <row r="31" spans="1:10" x14ac:dyDescent="0.35">
      <c r="A31" s="38">
        <v>22</v>
      </c>
      <c r="B31" s="39">
        <v>46142</v>
      </c>
      <c r="C31" s="40" t="s">
        <v>194</v>
      </c>
      <c r="D31" s="41"/>
      <c r="E31" s="41">
        <v>50000</v>
      </c>
      <c r="F31" s="113"/>
      <c r="G31" s="115"/>
    </row>
    <row r="32" spans="1:10" x14ac:dyDescent="0.35">
      <c r="A32" s="38">
        <v>23</v>
      </c>
      <c r="B32" s="39"/>
      <c r="C32" s="40" t="s">
        <v>199</v>
      </c>
      <c r="D32" s="41">
        <v>312700</v>
      </c>
      <c r="E32" s="41"/>
      <c r="F32" s="113"/>
      <c r="G32" s="115"/>
    </row>
    <row r="33" spans="1:7" x14ac:dyDescent="0.35">
      <c r="A33" s="38"/>
      <c r="B33" s="39"/>
      <c r="C33" s="40"/>
      <c r="D33" s="41"/>
      <c r="E33" s="41"/>
      <c r="F33" s="114"/>
      <c r="G33" s="115"/>
    </row>
    <row r="34" spans="1:7" x14ac:dyDescent="0.35">
      <c r="A34" s="4"/>
      <c r="B34" s="4"/>
      <c r="C34" s="4"/>
      <c r="D34" s="4"/>
      <c r="E34" s="4"/>
      <c r="F34" s="4"/>
    </row>
    <row r="35" spans="1:7" x14ac:dyDescent="0.35">
      <c r="A35" s="8"/>
      <c r="B35" s="8"/>
      <c r="C35" s="13" t="s">
        <v>15</v>
      </c>
      <c r="D35" s="14">
        <f>SUM(D10:D34)</f>
        <v>3191108</v>
      </c>
      <c r="E35" s="9">
        <f>SUM(E10:E34)</f>
        <v>2738995</v>
      </c>
      <c r="F35" s="9">
        <f>SUM(F10:F34)</f>
        <v>5930103</v>
      </c>
    </row>
    <row r="37" spans="1:7" x14ac:dyDescent="0.35">
      <c r="D37" s="16" t="s">
        <v>25</v>
      </c>
      <c r="E37" s="17">
        <f>D35+E35</f>
        <v>5930103</v>
      </c>
      <c r="F37" s="17"/>
    </row>
  </sheetData>
  <mergeCells count="16">
    <mergeCell ref="F27:F33"/>
    <mergeCell ref="G28:G33"/>
    <mergeCell ref="A1:E1"/>
    <mergeCell ref="A3:E3"/>
    <mergeCell ref="A4:E4"/>
    <mergeCell ref="G7:G9"/>
    <mergeCell ref="F10:F15"/>
    <mergeCell ref="F16:F17"/>
    <mergeCell ref="F18:F19"/>
    <mergeCell ref="F20:F23"/>
    <mergeCell ref="F24:F26"/>
    <mergeCell ref="F4:F6"/>
    <mergeCell ref="D5:E5"/>
    <mergeCell ref="G5:J5"/>
    <mergeCell ref="G12:G14"/>
    <mergeCell ref="F1:F3"/>
  </mergeCells>
  <pageMargins left="0.56999999999999995" right="0.34" top="0.74803149606299213" bottom="0.74803149606299213" header="0.31496062992125984" footer="0.31496062992125984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zoomScale="85" zoomScaleNormal="85" workbookViewId="0">
      <pane ySplit="6" topLeftCell="A7" activePane="bottomLeft" state="frozen"/>
      <selection pane="bottomLeft" activeCell="B14" sqref="B14"/>
    </sheetView>
  </sheetViews>
  <sheetFormatPr defaultRowHeight="14.5" x14ac:dyDescent="0.35"/>
  <cols>
    <col min="1" max="1" width="5.26953125" customWidth="1"/>
    <col min="2" max="2" width="10.7265625" customWidth="1"/>
    <col min="3" max="3" width="48" customWidth="1"/>
    <col min="4" max="6" width="16.54296875" customWidth="1"/>
    <col min="7" max="7" width="11.36328125" customWidth="1"/>
    <col min="8" max="8" width="10.90625" customWidth="1"/>
    <col min="9" max="9" width="12.7265625" customWidth="1"/>
  </cols>
  <sheetData>
    <row r="1" spans="1:14" ht="21" x14ac:dyDescent="0.35">
      <c r="A1" s="116" t="s">
        <v>10</v>
      </c>
      <c r="B1" s="117"/>
      <c r="C1" s="117"/>
      <c r="D1" s="117"/>
      <c r="E1" s="118"/>
      <c r="F1" s="46"/>
      <c r="J1" s="18"/>
      <c r="K1" s="18"/>
      <c r="L1" s="18"/>
      <c r="M1" s="18"/>
      <c r="N1" s="18"/>
    </row>
    <row r="2" spans="1:14" ht="15.5" x14ac:dyDescent="0.35">
      <c r="A2" s="48" t="s">
        <v>0</v>
      </c>
      <c r="B2" s="48"/>
      <c r="C2" s="49" t="s">
        <v>128</v>
      </c>
      <c r="D2" s="50"/>
      <c r="E2" s="51"/>
      <c r="F2" s="47"/>
    </row>
    <row r="3" spans="1:14" ht="15.5" x14ac:dyDescent="0.35">
      <c r="A3" s="111" t="s">
        <v>130</v>
      </c>
      <c r="B3" s="111"/>
      <c r="C3" s="111"/>
      <c r="D3" s="111"/>
      <c r="E3" s="111"/>
      <c r="F3" s="47"/>
    </row>
    <row r="4" spans="1:14" ht="15.5" x14ac:dyDescent="0.35">
      <c r="A4" s="109" t="s">
        <v>127</v>
      </c>
      <c r="B4" s="110"/>
      <c r="C4" s="110"/>
      <c r="D4" s="110"/>
      <c r="E4" s="119"/>
      <c r="F4" s="93" t="s">
        <v>25</v>
      </c>
    </row>
    <row r="5" spans="1:14" ht="15.5" x14ac:dyDescent="0.35">
      <c r="A5" s="3" t="s">
        <v>4</v>
      </c>
      <c r="B5" s="3" t="s">
        <v>5</v>
      </c>
      <c r="C5" s="3" t="s">
        <v>6</v>
      </c>
      <c r="D5" s="126" t="s">
        <v>11</v>
      </c>
      <c r="E5" s="127"/>
      <c r="F5" s="94"/>
      <c r="G5" s="90" t="s">
        <v>18</v>
      </c>
      <c r="H5" s="90"/>
      <c r="I5" s="90"/>
      <c r="J5" s="90"/>
    </row>
    <row r="6" spans="1:14" ht="18.649999999999999" customHeight="1" x14ac:dyDescent="0.35">
      <c r="A6" s="4"/>
      <c r="B6" s="4"/>
      <c r="C6" s="4"/>
      <c r="D6" s="13" t="s">
        <v>23</v>
      </c>
      <c r="E6" s="13" t="s">
        <v>24</v>
      </c>
      <c r="F6" s="95"/>
      <c r="G6" t="s">
        <v>75</v>
      </c>
      <c r="H6" t="s">
        <v>76</v>
      </c>
      <c r="I6" t="s">
        <v>103</v>
      </c>
      <c r="J6" t="s">
        <v>101</v>
      </c>
    </row>
    <row r="7" spans="1:14" ht="18.649999999999999" hidden="1" customHeight="1" x14ac:dyDescent="0.35">
      <c r="A7" s="5">
        <v>1</v>
      </c>
      <c r="B7" s="10">
        <v>45504</v>
      </c>
      <c r="C7" s="8" t="s">
        <v>12</v>
      </c>
      <c r="D7" s="7"/>
      <c r="E7" s="15"/>
      <c r="F7" s="36"/>
      <c r="G7" s="89" t="s">
        <v>19</v>
      </c>
      <c r="H7" s="9">
        <v>30000</v>
      </c>
      <c r="I7" s="30"/>
    </row>
    <row r="8" spans="1:14" ht="18.649999999999999" hidden="1" customHeight="1" x14ac:dyDescent="0.35">
      <c r="A8" s="5">
        <v>2</v>
      </c>
      <c r="B8" s="10">
        <v>45507</v>
      </c>
      <c r="C8" s="8" t="s">
        <v>13</v>
      </c>
      <c r="D8" s="7"/>
      <c r="E8" s="15"/>
      <c r="F8" s="36"/>
      <c r="G8" s="89"/>
      <c r="H8" s="9">
        <v>30000</v>
      </c>
      <c r="I8" s="30"/>
    </row>
    <row r="9" spans="1:14" ht="18.649999999999999" hidden="1" customHeight="1" x14ac:dyDescent="0.35">
      <c r="A9" s="5">
        <v>3</v>
      </c>
      <c r="B9" s="10">
        <v>45524</v>
      </c>
      <c r="C9" s="8" t="s">
        <v>14</v>
      </c>
      <c r="D9" s="7"/>
      <c r="E9" s="15"/>
      <c r="F9" s="36"/>
      <c r="G9" s="89"/>
      <c r="H9" s="9">
        <v>10000</v>
      </c>
      <c r="I9" s="30"/>
    </row>
    <row r="10" spans="1:14" x14ac:dyDescent="0.35">
      <c r="A10" s="38">
        <v>1</v>
      </c>
      <c r="B10" s="39">
        <v>45945</v>
      </c>
      <c r="C10" s="40" t="s">
        <v>129</v>
      </c>
      <c r="D10" s="41"/>
      <c r="E10" s="41">
        <v>500000</v>
      </c>
      <c r="F10" s="120"/>
      <c r="G10" s="42"/>
    </row>
    <row r="11" spans="1:14" x14ac:dyDescent="0.35">
      <c r="A11" s="38">
        <v>2</v>
      </c>
      <c r="B11" s="39">
        <v>46070</v>
      </c>
      <c r="C11" s="40" t="s">
        <v>173</v>
      </c>
      <c r="D11" s="41"/>
      <c r="E11" s="41">
        <v>250000</v>
      </c>
      <c r="F11" s="121"/>
      <c r="G11" s="42"/>
    </row>
    <row r="12" spans="1:14" x14ac:dyDescent="0.35">
      <c r="A12" s="38">
        <v>3</v>
      </c>
      <c r="B12" s="39">
        <v>46082</v>
      </c>
      <c r="C12" s="40" t="s">
        <v>177</v>
      </c>
      <c r="D12" s="53"/>
      <c r="E12" s="41">
        <v>250000</v>
      </c>
      <c r="F12" s="121"/>
      <c r="G12" s="128"/>
    </row>
    <row r="13" spans="1:14" x14ac:dyDescent="0.35">
      <c r="A13" s="38">
        <v>4</v>
      </c>
      <c r="B13" s="39">
        <v>46127</v>
      </c>
      <c r="C13" s="40" t="s">
        <v>196</v>
      </c>
      <c r="D13" s="53"/>
      <c r="E13" s="41">
        <v>300000</v>
      </c>
      <c r="F13" s="121"/>
      <c r="G13" s="128"/>
    </row>
    <row r="14" spans="1:14" x14ac:dyDescent="0.35">
      <c r="A14" s="38">
        <v>5</v>
      </c>
      <c r="B14" s="39">
        <v>46148</v>
      </c>
      <c r="C14" s="40" t="s">
        <v>196</v>
      </c>
      <c r="D14" s="53"/>
      <c r="E14" s="41">
        <v>200000</v>
      </c>
      <c r="F14" s="121"/>
      <c r="G14" s="128"/>
      <c r="H14" s="27"/>
      <c r="I14" s="24"/>
    </row>
    <row r="15" spans="1:14" x14ac:dyDescent="0.35">
      <c r="A15" s="38">
        <v>6</v>
      </c>
      <c r="B15" s="39"/>
      <c r="C15" s="40"/>
      <c r="D15" s="53"/>
      <c r="E15" s="41"/>
      <c r="F15" s="122"/>
      <c r="G15" s="42"/>
      <c r="H15" s="27"/>
      <c r="I15" s="24"/>
    </row>
    <row r="16" spans="1:14" x14ac:dyDescent="0.35">
      <c r="A16" s="38">
        <v>7</v>
      </c>
      <c r="B16" s="39"/>
      <c r="C16" s="40"/>
      <c r="D16" s="53"/>
      <c r="E16" s="41"/>
      <c r="F16" s="112"/>
      <c r="G16" s="43"/>
    </row>
    <row r="17" spans="1:10" x14ac:dyDescent="0.35">
      <c r="A17" s="38">
        <v>8</v>
      </c>
      <c r="B17" s="39"/>
      <c r="C17" s="40"/>
      <c r="D17" s="53"/>
      <c r="E17" s="41"/>
      <c r="F17" s="114"/>
      <c r="G17" s="42"/>
    </row>
    <row r="18" spans="1:10" x14ac:dyDescent="0.35">
      <c r="A18" s="38"/>
      <c r="B18" s="39"/>
      <c r="C18" s="40"/>
      <c r="D18" s="53"/>
      <c r="E18" s="41"/>
      <c r="F18" s="112"/>
      <c r="G18" s="43"/>
      <c r="H18" s="27"/>
      <c r="I18" s="27"/>
    </row>
    <row r="19" spans="1:10" x14ac:dyDescent="0.35">
      <c r="A19" s="38"/>
      <c r="B19" s="39"/>
      <c r="C19" s="40"/>
      <c r="D19" s="41"/>
      <c r="E19" s="41"/>
      <c r="F19" s="114"/>
      <c r="G19" s="44"/>
      <c r="H19" s="27"/>
      <c r="I19" s="27"/>
      <c r="J19" s="27"/>
    </row>
    <row r="20" spans="1:10" x14ac:dyDescent="0.35">
      <c r="A20" s="38"/>
      <c r="B20" s="39"/>
      <c r="C20" s="40"/>
      <c r="D20" s="41"/>
      <c r="E20" s="41"/>
      <c r="F20" s="112"/>
      <c r="G20" s="44"/>
      <c r="H20" s="27"/>
      <c r="I20" s="27"/>
    </row>
    <row r="21" spans="1:10" x14ac:dyDescent="0.35">
      <c r="A21" s="38"/>
      <c r="B21" s="39"/>
      <c r="C21" s="40"/>
      <c r="D21" s="41"/>
      <c r="E21" s="41"/>
      <c r="F21" s="113"/>
      <c r="G21" s="44"/>
      <c r="H21" s="27"/>
      <c r="I21" s="27"/>
    </row>
    <row r="22" spans="1:10" x14ac:dyDescent="0.35">
      <c r="A22" s="38"/>
      <c r="B22" s="39"/>
      <c r="C22" s="40"/>
      <c r="D22" s="41"/>
      <c r="E22" s="41"/>
      <c r="F22" s="113"/>
      <c r="G22" s="42"/>
    </row>
    <row r="23" spans="1:10" x14ac:dyDescent="0.35">
      <c r="A23" s="38"/>
      <c r="B23" s="39"/>
      <c r="C23" s="40"/>
      <c r="D23" s="41"/>
      <c r="E23" s="41"/>
      <c r="F23" s="114"/>
      <c r="G23" s="42"/>
    </row>
    <row r="24" spans="1:10" x14ac:dyDescent="0.35">
      <c r="A24" s="38"/>
      <c r="B24" s="39"/>
      <c r="C24" s="40"/>
      <c r="D24" s="41"/>
      <c r="E24" s="40"/>
      <c r="F24" s="123">
        <f>SUM(D24:E26)</f>
        <v>0</v>
      </c>
      <c r="G24" s="45"/>
    </row>
    <row r="25" spans="1:10" x14ac:dyDescent="0.35">
      <c r="A25" s="38"/>
      <c r="B25" s="39"/>
      <c r="C25" s="40"/>
      <c r="D25" s="41"/>
      <c r="E25" s="41"/>
      <c r="F25" s="124"/>
      <c r="G25" s="42"/>
    </row>
    <row r="26" spans="1:10" x14ac:dyDescent="0.35">
      <c r="A26" s="38"/>
      <c r="B26" s="39"/>
      <c r="C26" s="40"/>
      <c r="D26" s="40"/>
      <c r="E26" s="41"/>
      <c r="F26" s="125"/>
      <c r="G26" s="42"/>
    </row>
    <row r="27" spans="1:10" x14ac:dyDescent="0.35">
      <c r="A27" s="38"/>
      <c r="B27" s="39"/>
      <c r="C27" s="40"/>
      <c r="D27" s="40"/>
      <c r="E27" s="41"/>
      <c r="F27" s="112">
        <f>SUM(D27:E29)</f>
        <v>0</v>
      </c>
      <c r="G27" s="42"/>
    </row>
    <row r="28" spans="1:10" x14ac:dyDescent="0.35">
      <c r="A28" s="38"/>
      <c r="B28" s="39"/>
      <c r="C28" s="40"/>
      <c r="D28" s="41"/>
      <c r="E28" s="41"/>
      <c r="F28" s="113"/>
      <c r="G28" s="115"/>
    </row>
    <row r="29" spans="1:10" x14ac:dyDescent="0.35">
      <c r="A29" s="38"/>
      <c r="B29" s="39"/>
      <c r="C29" s="40"/>
      <c r="D29" s="41"/>
      <c r="E29" s="41"/>
      <c r="F29" s="114"/>
      <c r="G29" s="115"/>
    </row>
    <row r="30" spans="1:10" x14ac:dyDescent="0.35">
      <c r="A30" s="4"/>
      <c r="B30" s="4"/>
      <c r="C30" s="4"/>
      <c r="D30" s="4"/>
      <c r="E30" s="4"/>
      <c r="F30" s="37"/>
    </row>
    <row r="31" spans="1:10" x14ac:dyDescent="0.35">
      <c r="A31" s="8"/>
      <c r="B31" s="8"/>
      <c r="C31" s="13" t="s">
        <v>15</v>
      </c>
      <c r="D31" s="14">
        <f>SUM(D10:D30)</f>
        <v>0</v>
      </c>
      <c r="E31" s="9">
        <f>SUM(E10:E30)</f>
        <v>1500000</v>
      </c>
      <c r="F31" s="30">
        <f>SUM(F10:F30)</f>
        <v>0</v>
      </c>
    </row>
    <row r="33" spans="4:6" x14ac:dyDescent="0.35">
      <c r="D33" s="16" t="s">
        <v>25</v>
      </c>
      <c r="E33" s="17">
        <f>D31+E31</f>
        <v>1500000</v>
      </c>
      <c r="F33" s="17"/>
    </row>
  </sheetData>
  <mergeCells count="15">
    <mergeCell ref="G5:J5"/>
    <mergeCell ref="A1:E1"/>
    <mergeCell ref="A3:E3"/>
    <mergeCell ref="A4:E4"/>
    <mergeCell ref="F4:F6"/>
    <mergeCell ref="D5:E5"/>
    <mergeCell ref="F24:F26"/>
    <mergeCell ref="F27:F29"/>
    <mergeCell ref="G28:G29"/>
    <mergeCell ref="G7:G9"/>
    <mergeCell ref="F10:F15"/>
    <mergeCell ref="G12:G14"/>
    <mergeCell ref="F16:F17"/>
    <mergeCell ref="F18:F19"/>
    <mergeCell ref="F20:F23"/>
  </mergeCells>
  <pageMargins left="0.56999999999999995" right="0.34" top="0.74803149606299213" bottom="0.74803149606299213" header="0.31496062992125984" footer="0.31496062992125984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P-01</vt:lpstr>
      <vt:lpstr>P-02</vt:lpstr>
      <vt:lpstr>P-03</vt:lpstr>
      <vt:lpstr>P-04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2026-06-02T03:14:57Z</dcterms:modified>
</cp:coreProperties>
</file>