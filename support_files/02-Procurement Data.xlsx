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tabRatio="551" activeTab="3"/>
  </bookViews>
  <sheets>
    <sheet name="May-25" sheetId="1" r:id="rId1"/>
    <sheet name="June-25" sheetId="2" r:id="rId2"/>
    <sheet name="JULY-25 " sheetId="3" r:id="rId3"/>
    <sheet name="AUG-25" sheetId="4" r:id="rId4"/>
    <sheet name="SEPT-25" sheetId="5" r:id="rId5"/>
  </sheets>
  <definedNames>
    <definedName name="_xlnm._FilterDatabase" localSheetId="3" hidden="1">'AUG-25'!$B$2:$L$53</definedName>
    <definedName name="_xlnm._FilterDatabase" localSheetId="2" hidden="1">'JULY-25 '!$B$2:$L$64</definedName>
    <definedName name="_xlnm._FilterDatabase" localSheetId="1" hidden="1">'June-25'!$B$2:$L$49</definedName>
    <definedName name="_xlnm._FilterDatabase" localSheetId="4" hidden="1">'SEPT-25'!$B$2:$L$53</definedName>
    <definedName name="_xlnm.Print_Area" localSheetId="3">'AUG-25'!$A$1:$L$53</definedName>
    <definedName name="_xlnm.Print_Area" localSheetId="2">'JULY-25 '!$A$1:$L$64</definedName>
    <definedName name="_xlnm.Print_Area" localSheetId="1">'June-25'!$A$1:$L$49</definedName>
    <definedName name="_xlnm.Print_Area" localSheetId="4">'SEPT-25'!$A$1:$L$53</definedName>
  </definedNames>
  <calcPr calcId="152511"/>
</workbook>
</file>

<file path=xl/calcChain.xml><?xml version="1.0" encoding="utf-8"?>
<calcChain xmlns="http://schemas.openxmlformats.org/spreadsheetml/2006/main">
  <c r="I53" i="5" l="1"/>
  <c r="I53" i="4" l="1"/>
  <c r="I64" i="3"/>
  <c r="L10" i="4"/>
  <c r="I49" i="2" l="1"/>
  <c r="L49" i="3" l="1"/>
  <c r="L4" i="2" l="1"/>
</calcChain>
</file>

<file path=xl/sharedStrings.xml><?xml version="1.0" encoding="utf-8"?>
<sst xmlns="http://schemas.openxmlformats.org/spreadsheetml/2006/main" count="777" uniqueCount="164">
  <si>
    <t>ORDER DATE</t>
  </si>
  <si>
    <t xml:space="preserve">BILL DATE </t>
  </si>
  <si>
    <t xml:space="preserve">DELIVERY DATE </t>
  </si>
  <si>
    <t xml:space="preserve">INVOICE NUMBER </t>
  </si>
  <si>
    <t>SNO</t>
  </si>
  <si>
    <t>DESCRIPCTION</t>
  </si>
  <si>
    <t>FOR PROJECT</t>
  </si>
  <si>
    <t>AMOUNT</t>
  </si>
  <si>
    <t>ORDERED PLACED BY</t>
  </si>
  <si>
    <t xml:space="preserve">PAYMENT STATUS </t>
  </si>
  <si>
    <t>PAYMENT DATE</t>
  </si>
  <si>
    <t>MATERIAL PROCURMENT  &amp; PAYMENT STATUS</t>
  </si>
  <si>
    <t>SUPPLIER NAME</t>
  </si>
  <si>
    <t xml:space="preserve">AK-Ready mix </t>
  </si>
  <si>
    <t>P-01</t>
  </si>
  <si>
    <t>Domnic</t>
  </si>
  <si>
    <t>Ready mix M25 for first floor Roof slab 49m3 @ 5500 rs</t>
  </si>
  <si>
    <t>Ramco cement 50 nos</t>
  </si>
  <si>
    <t>Sriram Hardwares</t>
  </si>
  <si>
    <t>P-02</t>
  </si>
  <si>
    <t>SHR/1109</t>
  </si>
  <si>
    <t>Yuviraj</t>
  </si>
  <si>
    <t>Completed</t>
  </si>
  <si>
    <t xml:space="preserve">Anna nagar MEP Drawings </t>
  </si>
  <si>
    <t xml:space="preserve">MYDEEN muscat </t>
  </si>
  <si>
    <t>Vinoth</t>
  </si>
  <si>
    <t>Pandian</t>
  </si>
  <si>
    <t>anna nagar 2.5 units Msand (275)</t>
  </si>
  <si>
    <t>anna nagar 2.5 units Msand (263)</t>
  </si>
  <si>
    <t xml:space="preserve">SNL Bricks </t>
  </si>
  <si>
    <t>Rajesh</t>
  </si>
  <si>
    <t>Annai Axulirium</t>
  </si>
  <si>
    <t>P-03</t>
  </si>
  <si>
    <t>Steel For Foundation</t>
  </si>
  <si>
    <t>837/25-26</t>
  </si>
  <si>
    <t xml:space="preserve">Ramash Masthri </t>
  </si>
  <si>
    <t>Azhumalai Masthri</t>
  </si>
  <si>
    <t>Labor contract</t>
  </si>
  <si>
    <t>100 Bags Cement -Ramco Create</t>
  </si>
  <si>
    <t xml:space="preserve">V.S Enterpraise </t>
  </si>
  <si>
    <t>T.K.G TRADERS</t>
  </si>
  <si>
    <t>M.Sand 682 cft @ 56.5</t>
  </si>
  <si>
    <t>20MM Aggre 682 cft @ 46.5</t>
  </si>
  <si>
    <t>Electrical / DB Material</t>
  </si>
  <si>
    <t>Golden Traders</t>
  </si>
  <si>
    <t>Door Frames</t>
  </si>
  <si>
    <t>Bhuvaneswari timber</t>
  </si>
  <si>
    <t>TOTAL</t>
  </si>
  <si>
    <t>CASH</t>
  </si>
  <si>
    <t>ACCOUNT</t>
  </si>
  <si>
    <t>GPAY SABRISH</t>
  </si>
  <si>
    <t>Flood light &amp; Wire</t>
  </si>
  <si>
    <t>Office</t>
  </si>
  <si>
    <t>helmets site - Client grey</t>
  </si>
  <si>
    <t>helmets site- Engineers white</t>
  </si>
  <si>
    <t>helmets site-Labours</t>
  </si>
  <si>
    <t>amazon - card</t>
  </si>
  <si>
    <t>SHR/1540</t>
  </si>
  <si>
    <t xml:space="preserve">bizet subscription </t>
  </si>
  <si>
    <t>alice mary</t>
  </si>
  <si>
    <t>Mactech pvt ltd</t>
  </si>
  <si>
    <t>bizet Broucher</t>
  </si>
  <si>
    <t>Pusparaj-</t>
  </si>
  <si>
    <t>Electrical Labor</t>
  </si>
  <si>
    <t>domnic</t>
  </si>
  <si>
    <t>SHR/1671</t>
  </si>
  <si>
    <t xml:space="preserve">50 Bags Cement -Ramco </t>
  </si>
  <si>
    <t>SHR/1696</t>
  </si>
  <si>
    <t>A1 fly ash</t>
  </si>
  <si>
    <t>5 nos 3.5 feet 2nd teaks</t>
  </si>
  <si>
    <t>Azhumalai -Stage 2 payment</t>
  </si>
  <si>
    <t>flyash brich 3000 @ 8 rs</t>
  </si>
  <si>
    <t>flyash brich 3500 @ 8rs</t>
  </si>
  <si>
    <t xml:space="preserve">Arun structural -consult </t>
  </si>
  <si>
    <t>consultant fee</t>
  </si>
  <si>
    <t>SNL Bricks -3000 nos</t>
  </si>
  <si>
    <t>2.5 units Msand (263)</t>
  </si>
  <si>
    <t>SRH/1880</t>
  </si>
  <si>
    <t xml:space="preserve">10.780 I STEEL </t>
  </si>
  <si>
    <t>BRUSH BOND</t>
  </si>
  <si>
    <t>TRADE WINGS</t>
  </si>
  <si>
    <t>PETTY CASH YUVIRAJ</t>
  </si>
  <si>
    <t>10.780 I STEEL DELIVERY CHARGES</t>
  </si>
  <si>
    <t>Msand 389.28 cft @60 rs</t>
  </si>
  <si>
    <t>Chennai Civil supply</t>
  </si>
  <si>
    <t>1036</t>
  </si>
  <si>
    <t>0961</t>
  </si>
  <si>
    <t>0733</t>
  </si>
  <si>
    <t>Aggregate 336 @54</t>
  </si>
  <si>
    <t>50 bags cement</t>
  </si>
  <si>
    <t>SRH/1943</t>
  </si>
  <si>
    <t>05-2025-26</t>
  </si>
  <si>
    <t>Aqua protection</t>
  </si>
  <si>
    <t>Bitufix &amp; brush bond</t>
  </si>
  <si>
    <t xml:space="preserve">Naza Engineering </t>
  </si>
  <si>
    <t>JV Board Anna Nagar</t>
  </si>
  <si>
    <t xml:space="preserve">GF Metal Box </t>
  </si>
  <si>
    <t xml:space="preserve">Golden Traders </t>
  </si>
  <si>
    <t>Sri Balaji Agencies</t>
  </si>
  <si>
    <t>CPVC Pipes Toilet</t>
  </si>
  <si>
    <t>second floor roof ele Material</t>
  </si>
  <si>
    <t>account</t>
  </si>
  <si>
    <t>P.sand  674 cft @ 66</t>
  </si>
  <si>
    <t xml:space="preserve">azhumalai - Cement </t>
  </si>
  <si>
    <t xml:space="preserve">Local supply </t>
  </si>
  <si>
    <t>686</t>
  </si>
  <si>
    <t>Advance</t>
  </si>
  <si>
    <t>office</t>
  </si>
  <si>
    <t>vinoth</t>
  </si>
  <si>
    <t>20MM Aggre 674 cft @ 46.5</t>
  </si>
  <si>
    <t>VINOTH- VIDYA NATHAN SCHOOL FEE</t>
  </si>
  <si>
    <t>VINOTH for magesh</t>
  </si>
  <si>
    <t>2 units 20 Aggrigate (200)</t>
  </si>
  <si>
    <t>2 units Msand (270)</t>
  </si>
  <si>
    <t>Petty cash Yuviray</t>
  </si>
  <si>
    <t>s</t>
  </si>
  <si>
    <t>Azhumalai</t>
  </si>
  <si>
    <t>9 units filling sand x 750</t>
  </si>
  <si>
    <t xml:space="preserve">300cft filling @14 rs </t>
  </si>
  <si>
    <t xml:space="preserve">100 bags cement </t>
  </si>
  <si>
    <t>Velavan Blue Metal</t>
  </si>
  <si>
    <t>20mm aggrigate 2 units @52.5</t>
  </si>
  <si>
    <t xml:space="preserve">M.sand 4 units  @63 </t>
  </si>
  <si>
    <t>IR/660</t>
  </si>
  <si>
    <t>Irfana steels</t>
  </si>
  <si>
    <t xml:space="preserve">Plinth Beam Steel </t>
  </si>
  <si>
    <t xml:space="preserve">Column Steel </t>
  </si>
  <si>
    <t>IR/787</t>
  </si>
  <si>
    <t>Credit card</t>
  </si>
  <si>
    <t>IR/788</t>
  </si>
  <si>
    <t>CASH/credit card</t>
  </si>
  <si>
    <t xml:space="preserve">stage 3 payment -basement </t>
  </si>
  <si>
    <t>Watchman salary</t>
  </si>
  <si>
    <t>Pest control</t>
  </si>
  <si>
    <t xml:space="preserve">to account </t>
  </si>
  <si>
    <t xml:space="preserve">company account </t>
  </si>
  <si>
    <t xml:space="preserve">Ramash Masthri -sand material </t>
  </si>
  <si>
    <t>car battery seltos</t>
  </si>
  <si>
    <t>Msand 6 units ordered</t>
  </si>
  <si>
    <t>P.sand 6 units ordered</t>
  </si>
  <si>
    <t>Architect</t>
  </si>
  <si>
    <t>Baradhan -For Elevation</t>
  </si>
  <si>
    <t>cash</t>
  </si>
  <si>
    <t xml:space="preserve">M.sand 275 units  @ 63 rs </t>
  </si>
  <si>
    <t xml:space="preserve">40 mm aggrigate 275 @ 44 rs 2 unit </t>
  </si>
  <si>
    <t>Amaze Ready mix</t>
  </si>
  <si>
    <t>Ready mix 3 floor 49m3 2.646 lac</t>
  </si>
  <si>
    <t xml:space="preserve">partial payment </t>
  </si>
  <si>
    <t>yuviraj petty cash</t>
  </si>
  <si>
    <t>Vinoth salary</t>
  </si>
  <si>
    <t>salary</t>
  </si>
  <si>
    <t>Petty cash</t>
  </si>
  <si>
    <t>SNL Bricks -3000 nos 2nd load</t>
  </si>
  <si>
    <t>sump payment</t>
  </si>
  <si>
    <t xml:space="preserve">Ganesn Pending rent </t>
  </si>
  <si>
    <t>ganesan</t>
  </si>
  <si>
    <t>advance for shuttring material</t>
  </si>
  <si>
    <t>CASH to prakesh</t>
  </si>
  <si>
    <t xml:space="preserve">CASH to mari </t>
  </si>
  <si>
    <t>M.sand  units  @ 63</t>
  </si>
  <si>
    <t>Sathyaraj Bricks</t>
  </si>
  <si>
    <t>Ramesh</t>
  </si>
  <si>
    <t xml:space="preserve">cash @ palavaram site </t>
  </si>
  <si>
    <t>Vinoth Salary 33+30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</si>
</sst>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B41A"/>
        <bgColor indexed="64"/>
      </patternFill>
    </fill>
    <fill>
      <patternFill patternType="solid">
        <fgColor rgb="FF143D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ashed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ashed">
        <color indexed="64"/>
      </right>
      <top style="thin">
        <color indexed="64"/>
      </top>
      <bottom style="hair">
        <color indexed="64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dashed">
        <color indexed="64"/>
      </left>
      <right/>
      <top style="hair">
        <color indexed="64"/>
      </top>
      <bottom style="dashed">
        <color indexed="64"/>
      </bottom>
      <diagonal/>
    </border>
    <border>
      <left/>
      <right/>
      <top style="hair">
        <color indexed="64"/>
      </top>
      <bottom style="dashed">
        <color indexed="64"/>
      </bottom>
      <diagonal/>
    </border>
    <border>
      <left style="dashed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7" xfId="0" applyBorder="1" applyAlignment="1">
      <alignment horizontal="center" vertical="top"/>
    </xf>
    <xf numFmtId="14" fontId="0" fillId="0" borderId="14" xfId="0" applyNumberFormat="1" applyBorder="1" applyAlignment="1">
      <alignment horizontal="center" vertical="top"/>
    </xf>
    <xf numFmtId="0" fontId="0" fillId="0" borderId="8" xfId="0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14" fontId="0" fillId="0" borderId="8" xfId="0" applyNumberFormat="1" applyBorder="1" applyAlignment="1">
      <alignment vertical="top"/>
    </xf>
    <xf numFmtId="0" fontId="0" fillId="0" borderId="8" xfId="0" applyBorder="1" applyAlignment="1">
      <alignment horizontal="center" vertical="top"/>
    </xf>
    <xf numFmtId="14" fontId="0" fillId="0" borderId="9" xfId="0" applyNumberFormat="1" applyBorder="1" applyAlignment="1">
      <alignment vertical="top"/>
    </xf>
    <xf numFmtId="43" fontId="0" fillId="0" borderId="8" xfId="1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43" fontId="6" fillId="0" borderId="11" xfId="0" applyNumberFormat="1" applyFont="1" applyBorder="1"/>
    <xf numFmtId="0" fontId="0" fillId="0" borderId="0" xfId="0" applyNumberFormat="1"/>
    <xf numFmtId="43" fontId="0" fillId="0" borderId="0" xfId="0" applyNumberFormat="1"/>
    <xf numFmtId="0" fontId="0" fillId="0" borderId="8" xfId="0" quotePrefix="1" applyBorder="1" applyAlignment="1">
      <alignment horizontal="center" vertical="top"/>
    </xf>
    <xf numFmtId="14" fontId="0" fillId="0" borderId="8" xfId="0" quotePrefix="1" applyNumberFormat="1" applyBorder="1" applyAlignment="1">
      <alignment horizontal="center" vertical="top"/>
    </xf>
    <xf numFmtId="14" fontId="0" fillId="4" borderId="8" xfId="0" applyNumberFormat="1" applyFill="1" applyBorder="1" applyAlignment="1">
      <alignment vertical="top"/>
    </xf>
    <xf numFmtId="43" fontId="0" fillId="4" borderId="8" xfId="1" applyFont="1" applyFill="1" applyBorder="1" applyAlignment="1">
      <alignment vertical="top"/>
    </xf>
    <xf numFmtId="14" fontId="0" fillId="0" borderId="8" xfId="0" quotePrefix="1" applyNumberFormat="1" applyBorder="1" applyAlignment="1">
      <alignment vertical="top"/>
    </xf>
    <xf numFmtId="14" fontId="0" fillId="5" borderId="14" xfId="0" applyNumberFormat="1" applyFill="1" applyBorder="1" applyAlignment="1">
      <alignment horizontal="center" vertical="top"/>
    </xf>
    <xf numFmtId="0" fontId="0" fillId="5" borderId="8" xfId="0" applyFill="1" applyBorder="1" applyAlignment="1">
      <alignment vertical="top"/>
    </xf>
    <xf numFmtId="14" fontId="0" fillId="5" borderId="8" xfId="0" applyNumberFormat="1" applyFill="1" applyBorder="1" applyAlignment="1">
      <alignment vertical="top"/>
    </xf>
    <xf numFmtId="0" fontId="0" fillId="5" borderId="8" xfId="0" applyFill="1" applyBorder="1" applyAlignment="1">
      <alignment horizontal="center" vertical="top"/>
    </xf>
    <xf numFmtId="43" fontId="0" fillId="5" borderId="8" xfId="1" applyFont="1" applyFill="1" applyBorder="1" applyAlignment="1">
      <alignment vertical="top"/>
    </xf>
    <xf numFmtId="0" fontId="4" fillId="5" borderId="8" xfId="0" applyFont="1" applyFill="1" applyBorder="1" applyAlignment="1">
      <alignment vertical="top"/>
    </xf>
    <xf numFmtId="0" fontId="0" fillId="5" borderId="0" xfId="0" applyFill="1"/>
    <xf numFmtId="14" fontId="0" fillId="0" borderId="14" xfId="0" applyNumberFormat="1" applyBorder="1" applyAlignment="1">
      <alignment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43" fontId="0" fillId="0" borderId="8" xfId="1" applyFont="1" applyFill="1" applyBorder="1" applyAlignment="1">
      <alignment vertical="top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zoomScaleNormal="160" zoomScaleSheetLayoutView="100" workbookViewId="0">
      <selection activeCell="H11" sqref="H11"/>
    </sheetView>
  </sheetViews>
  <sheetFormatPr defaultRowHeight="14.5" x14ac:dyDescent="0.35"/>
  <cols>
    <col min="1" max="1" width="5.08984375" customWidth="1"/>
    <col min="2" max="2" width="10.81640625" customWidth="1"/>
    <col min="3" max="3" width="25.7265625" customWidth="1"/>
    <col min="4" max="4" width="19.1796875" customWidth="1"/>
    <col min="5" max="6" width="10.90625" customWidth="1"/>
    <col min="7" max="7" width="9.6328125" customWidth="1"/>
    <col min="8" max="8" width="11.81640625" customWidth="1"/>
    <col min="9" max="9" width="18.08984375" customWidth="1"/>
    <col min="10" max="16" width="11.81640625" customWidth="1"/>
  </cols>
  <sheetData>
    <row r="1" spans="1:12" ht="21" x14ac:dyDescent="0.35">
      <c r="A1" s="42" t="s">
        <v>11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31" x14ac:dyDescent="0.35">
      <c r="A2" s="1" t="s">
        <v>4</v>
      </c>
      <c r="B2" s="1" t="s">
        <v>0</v>
      </c>
      <c r="C2" s="1" t="s">
        <v>5</v>
      </c>
      <c r="D2" s="1" t="s">
        <v>12</v>
      </c>
      <c r="E2" s="1" t="s">
        <v>1</v>
      </c>
      <c r="F2" s="1" t="s">
        <v>2</v>
      </c>
      <c r="G2" s="1" t="s">
        <v>6</v>
      </c>
      <c r="H2" s="1" t="s">
        <v>3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35">
      <c r="A3" s="2"/>
      <c r="B3" s="10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 x14ac:dyDescent="0.35">
      <c r="A4" s="11"/>
      <c r="B4" s="12"/>
      <c r="C4" s="13"/>
      <c r="D4" s="14"/>
      <c r="E4" s="16"/>
      <c r="F4" s="16"/>
      <c r="G4" s="17"/>
      <c r="H4" s="14"/>
      <c r="I4" s="19"/>
      <c r="J4" s="17"/>
      <c r="K4" s="21"/>
      <c r="L4" s="18"/>
    </row>
    <row r="5" spans="1:12" x14ac:dyDescent="0.35">
      <c r="A5" s="11"/>
      <c r="B5" s="12"/>
      <c r="C5" s="14"/>
      <c r="D5" s="14"/>
      <c r="E5" s="16"/>
      <c r="F5" s="16"/>
      <c r="G5" s="17"/>
      <c r="H5" s="17"/>
      <c r="I5" s="19"/>
      <c r="J5" s="17"/>
      <c r="K5" s="20"/>
      <c r="L5" s="18"/>
    </row>
    <row r="6" spans="1:12" x14ac:dyDescent="0.35">
      <c r="A6" s="11"/>
      <c r="B6" s="12"/>
      <c r="C6" s="14"/>
      <c r="D6" s="14"/>
      <c r="E6" s="14"/>
      <c r="F6" s="16"/>
      <c r="G6" s="17"/>
      <c r="H6" s="14"/>
      <c r="I6" s="19"/>
      <c r="J6" s="17"/>
      <c r="K6" s="14"/>
      <c r="L6" s="15"/>
    </row>
    <row r="7" spans="1:12" x14ac:dyDescent="0.35">
      <c r="A7" s="11"/>
      <c r="B7" s="12"/>
      <c r="C7" s="14"/>
      <c r="D7" s="14"/>
      <c r="E7" s="14"/>
      <c r="F7" s="16"/>
      <c r="G7" s="17"/>
      <c r="H7" s="14"/>
      <c r="I7" s="19"/>
      <c r="J7" s="17"/>
      <c r="K7" s="14"/>
      <c r="L7" s="15"/>
    </row>
    <row r="8" spans="1:12" x14ac:dyDescent="0.35">
      <c r="A8" s="11"/>
      <c r="B8" s="12"/>
      <c r="C8" s="14"/>
      <c r="D8" s="14"/>
      <c r="E8" s="14"/>
      <c r="F8" s="16"/>
      <c r="G8" s="17"/>
      <c r="H8" s="14"/>
      <c r="I8" s="19"/>
      <c r="J8" s="17"/>
      <c r="K8" s="14"/>
      <c r="L8" s="15"/>
    </row>
    <row r="9" spans="1:12" x14ac:dyDescent="0.35">
      <c r="A9" s="11"/>
      <c r="B9" s="12"/>
      <c r="C9" s="14"/>
      <c r="D9" s="14"/>
      <c r="E9" s="14"/>
      <c r="F9" s="16"/>
      <c r="G9" s="17"/>
      <c r="H9" s="14"/>
      <c r="I9" s="19"/>
      <c r="J9" s="17"/>
      <c r="K9" s="14"/>
      <c r="L9" s="15"/>
    </row>
    <row r="10" spans="1:12" x14ac:dyDescent="0.35">
      <c r="A10" s="11"/>
      <c r="B10" s="12"/>
      <c r="C10" s="14"/>
      <c r="D10" s="14"/>
      <c r="E10" s="14"/>
      <c r="F10" s="16"/>
      <c r="G10" s="17"/>
      <c r="H10" s="14"/>
      <c r="I10" s="19"/>
      <c r="J10" s="17"/>
      <c r="K10" s="14"/>
      <c r="L10" s="15"/>
    </row>
    <row r="11" spans="1:12" x14ac:dyDescent="0.35">
      <c r="A11" s="11"/>
      <c r="B11" s="12"/>
      <c r="C11" s="14"/>
      <c r="D11" s="14"/>
      <c r="E11" s="14"/>
      <c r="F11" s="16"/>
      <c r="G11" s="17"/>
      <c r="H11" s="14"/>
      <c r="I11" s="19"/>
      <c r="J11" s="17"/>
      <c r="K11" s="14"/>
      <c r="L11" s="15"/>
    </row>
    <row r="12" spans="1:12" x14ac:dyDescent="0.35">
      <c r="A12" s="11"/>
      <c r="B12" s="12"/>
      <c r="C12" s="5"/>
      <c r="D12" s="5"/>
      <c r="E12" s="5"/>
      <c r="F12" s="16"/>
      <c r="G12" s="17"/>
      <c r="H12" s="5"/>
      <c r="I12" s="19"/>
      <c r="J12" s="17"/>
      <c r="K12" s="5"/>
      <c r="L12" s="6"/>
    </row>
    <row r="13" spans="1:12" x14ac:dyDescent="0.35">
      <c r="A13" s="11"/>
      <c r="B13" s="12"/>
      <c r="C13" s="5"/>
      <c r="D13" s="5"/>
      <c r="E13" s="5"/>
      <c r="F13" s="16"/>
      <c r="G13" s="17"/>
      <c r="H13" s="5"/>
      <c r="I13" s="19"/>
      <c r="J13" s="17"/>
      <c r="K13" s="5"/>
      <c r="L13" s="6"/>
    </row>
    <row r="14" spans="1:12" x14ac:dyDescent="0.35">
      <c r="A14" s="11"/>
      <c r="B14" s="12"/>
      <c r="C14" s="5"/>
      <c r="D14" s="5"/>
      <c r="E14" s="5"/>
      <c r="F14" s="16"/>
      <c r="G14" s="17"/>
      <c r="H14" s="5"/>
      <c r="I14" s="19"/>
      <c r="J14" s="17"/>
      <c r="K14" s="5"/>
      <c r="L14" s="6"/>
    </row>
    <row r="15" spans="1:12" x14ac:dyDescent="0.35">
      <c r="A15" s="11"/>
      <c r="B15" s="12"/>
      <c r="C15" s="5"/>
      <c r="D15" s="5"/>
      <c r="E15" s="5"/>
      <c r="F15" s="16"/>
      <c r="G15" s="17"/>
      <c r="H15" s="5"/>
      <c r="I15" s="19"/>
      <c r="J15" s="17"/>
      <c r="K15" s="5"/>
      <c r="L15" s="6"/>
    </row>
    <row r="16" spans="1:12" x14ac:dyDescent="0.35">
      <c r="A16" s="11"/>
      <c r="B16" s="12"/>
      <c r="C16" s="5"/>
      <c r="D16" s="5"/>
      <c r="E16" s="5"/>
      <c r="F16" s="16"/>
      <c r="G16" s="17"/>
      <c r="H16" s="5"/>
      <c r="I16" s="19"/>
      <c r="J16" s="17"/>
      <c r="K16" s="5"/>
      <c r="L16" s="6"/>
    </row>
    <row r="17" spans="1:12" x14ac:dyDescent="0.35">
      <c r="A17" s="11"/>
      <c r="B17" s="12"/>
      <c r="C17" s="5"/>
      <c r="D17" s="5"/>
      <c r="E17" s="5"/>
      <c r="F17" s="16"/>
      <c r="G17" s="17"/>
      <c r="H17" s="5"/>
      <c r="I17" s="19"/>
      <c r="J17" s="17"/>
      <c r="K17" s="5"/>
      <c r="L17" s="6"/>
    </row>
    <row r="18" spans="1:12" x14ac:dyDescent="0.35">
      <c r="A18" s="11"/>
      <c r="B18" s="12"/>
      <c r="C18" s="5"/>
      <c r="D18" s="5"/>
      <c r="E18" s="5"/>
      <c r="F18" s="16"/>
      <c r="G18" s="17"/>
      <c r="H18" s="5"/>
      <c r="I18" s="19"/>
      <c r="J18" s="17"/>
      <c r="K18" s="5"/>
      <c r="L18" s="6"/>
    </row>
    <row r="19" spans="1:12" x14ac:dyDescent="0.35">
      <c r="A19" s="11"/>
      <c r="B19" s="12"/>
      <c r="C19" s="5"/>
      <c r="D19" s="5"/>
      <c r="E19" s="5"/>
      <c r="F19" s="5"/>
      <c r="G19" s="17"/>
      <c r="H19" s="5"/>
      <c r="I19" s="19"/>
      <c r="J19" s="17"/>
      <c r="K19" s="5"/>
      <c r="L19" s="6"/>
    </row>
    <row r="20" spans="1:12" x14ac:dyDescent="0.35">
      <c r="A20" s="11"/>
      <c r="B20" s="12"/>
      <c r="C20" s="5"/>
      <c r="D20" s="5"/>
      <c r="E20" s="5"/>
      <c r="F20" s="5"/>
      <c r="G20" s="17"/>
      <c r="H20" s="5"/>
      <c r="I20" s="5"/>
      <c r="J20" s="17"/>
      <c r="K20" s="5"/>
      <c r="L20" s="6"/>
    </row>
    <row r="21" spans="1:12" x14ac:dyDescent="0.35">
      <c r="A21" s="11"/>
      <c r="B21" s="12"/>
      <c r="C21" s="5"/>
      <c r="D21" s="5"/>
      <c r="E21" s="5"/>
      <c r="F21" s="5"/>
      <c r="G21" s="17"/>
      <c r="H21" s="5"/>
      <c r="I21" s="5"/>
      <c r="J21" s="17"/>
      <c r="K21" s="5"/>
      <c r="L21" s="6"/>
    </row>
    <row r="22" spans="1:12" x14ac:dyDescent="0.35">
      <c r="A22" s="11"/>
      <c r="B22" s="12"/>
      <c r="C22" s="5"/>
      <c r="D22" s="5"/>
      <c r="E22" s="5"/>
      <c r="F22" s="5"/>
      <c r="G22" s="5"/>
      <c r="H22" s="5"/>
      <c r="I22" s="5"/>
      <c r="J22" s="17"/>
      <c r="K22" s="5"/>
      <c r="L22" s="6"/>
    </row>
    <row r="23" spans="1:12" x14ac:dyDescent="0.35">
      <c r="A23" s="11"/>
      <c r="B23" s="12"/>
      <c r="C23" s="5"/>
      <c r="D23" s="5"/>
      <c r="E23" s="5"/>
      <c r="F23" s="5"/>
      <c r="G23" s="5"/>
      <c r="H23" s="5"/>
      <c r="I23" s="5"/>
      <c r="J23" s="17"/>
      <c r="K23" s="5"/>
      <c r="L23" s="6"/>
    </row>
    <row r="24" spans="1:12" x14ac:dyDescent="0.35">
      <c r="A24" s="7"/>
      <c r="B24" s="12"/>
      <c r="C24" s="8"/>
      <c r="D24" s="8"/>
      <c r="E24" s="8"/>
      <c r="F24" s="8"/>
      <c r="G24" s="8"/>
      <c r="H24" s="8"/>
      <c r="I24" s="8"/>
      <c r="J24" s="8"/>
      <c r="K24" s="8"/>
      <c r="L24" s="9"/>
    </row>
  </sheetData>
  <mergeCells count="1">
    <mergeCell ref="A1:L1"/>
  </mergeCells>
  <pageMargins left="0.7" right="0.7" top="0.75" bottom="0.75" header="0.3" footer="0.3"/>
  <pageSetup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view="pageBreakPreview" zoomScaleNormal="160" zoomScaleSheetLayoutView="100" workbookViewId="0">
      <pane ySplit="2" topLeftCell="A3" activePane="bottomLeft" state="frozen"/>
      <selection pane="bottomLeft" activeCell="C4" sqref="C4"/>
    </sheetView>
  </sheetViews>
  <sheetFormatPr defaultRowHeight="14.5" x14ac:dyDescent="0.35"/>
  <cols>
    <col min="1" max="1" width="5" customWidth="1"/>
    <col min="2" max="2" width="10.81640625" customWidth="1"/>
    <col min="3" max="3" width="28.54296875" customWidth="1"/>
    <col min="4" max="4" width="19.1796875" customWidth="1"/>
    <col min="5" max="6" width="10.90625" customWidth="1"/>
    <col min="7" max="7" width="9.6328125" customWidth="1"/>
    <col min="8" max="8" width="11.81640625" customWidth="1"/>
    <col min="9" max="9" width="18.08984375" customWidth="1"/>
    <col min="10" max="12" width="11.81640625" customWidth="1"/>
    <col min="13" max="13" width="13.453125" customWidth="1"/>
    <col min="14" max="16" width="11.81640625" customWidth="1"/>
  </cols>
  <sheetData>
    <row r="1" spans="1:13" ht="21" x14ac:dyDescent="0.35">
      <c r="A1" s="42" t="s">
        <v>11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3" ht="31" x14ac:dyDescent="0.35">
      <c r="A2" s="1" t="s">
        <v>4</v>
      </c>
      <c r="B2" s="1" t="s">
        <v>0</v>
      </c>
      <c r="C2" s="1" t="s">
        <v>5</v>
      </c>
      <c r="D2" s="1" t="s">
        <v>12</v>
      </c>
      <c r="E2" s="1" t="s">
        <v>1</v>
      </c>
      <c r="F2" s="1" t="s">
        <v>2</v>
      </c>
      <c r="G2" s="1" t="s">
        <v>6</v>
      </c>
      <c r="H2" s="1" t="s">
        <v>3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3" x14ac:dyDescent="0.35">
      <c r="A3" s="2"/>
      <c r="B3" s="10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3" ht="29" x14ac:dyDescent="0.35">
      <c r="A4" s="11">
        <v>1</v>
      </c>
      <c r="B4" s="12">
        <v>45804</v>
      </c>
      <c r="C4" s="13" t="s">
        <v>16</v>
      </c>
      <c r="D4" s="14" t="s">
        <v>13</v>
      </c>
      <c r="E4" s="16">
        <v>45806</v>
      </c>
      <c r="F4" s="16">
        <v>45806</v>
      </c>
      <c r="G4" s="17" t="s">
        <v>14</v>
      </c>
      <c r="H4" s="14"/>
      <c r="I4" s="19">
        <v>269500</v>
      </c>
      <c r="J4" s="17" t="s">
        <v>15</v>
      </c>
      <c r="K4" s="20" t="s">
        <v>22</v>
      </c>
      <c r="L4" s="18">
        <f>E4+30</f>
        <v>45836</v>
      </c>
      <c r="M4" t="s">
        <v>48</v>
      </c>
    </row>
    <row r="5" spans="1:13" x14ac:dyDescent="0.35">
      <c r="A5" s="11">
        <v>2</v>
      </c>
      <c r="B5" s="12">
        <v>45801</v>
      </c>
      <c r="C5" s="14" t="s">
        <v>17</v>
      </c>
      <c r="D5" s="14" t="s">
        <v>18</v>
      </c>
      <c r="E5" s="16">
        <v>45803</v>
      </c>
      <c r="F5" s="16"/>
      <c r="G5" s="17" t="s">
        <v>19</v>
      </c>
      <c r="H5" s="17" t="s">
        <v>20</v>
      </c>
      <c r="I5" s="19">
        <v>18250</v>
      </c>
      <c r="J5" s="17" t="s">
        <v>21</v>
      </c>
      <c r="K5" s="20" t="s">
        <v>22</v>
      </c>
      <c r="L5" s="18">
        <v>45810</v>
      </c>
      <c r="M5" t="s">
        <v>49</v>
      </c>
    </row>
    <row r="6" spans="1:13" x14ac:dyDescent="0.35">
      <c r="A6" s="11">
        <v>3</v>
      </c>
      <c r="B6" s="12"/>
      <c r="C6" s="14" t="s">
        <v>35</v>
      </c>
      <c r="D6" s="14" t="s">
        <v>37</v>
      </c>
      <c r="E6" s="16"/>
      <c r="F6" s="16"/>
      <c r="G6" s="17" t="s">
        <v>14</v>
      </c>
      <c r="H6" s="17"/>
      <c r="I6" s="19">
        <v>300000</v>
      </c>
      <c r="J6" s="17" t="s">
        <v>25</v>
      </c>
      <c r="K6" s="20" t="s">
        <v>22</v>
      </c>
      <c r="L6" s="18">
        <v>45810</v>
      </c>
      <c r="M6" t="s">
        <v>48</v>
      </c>
    </row>
    <row r="7" spans="1:13" x14ac:dyDescent="0.35">
      <c r="A7" s="11">
        <v>4</v>
      </c>
      <c r="B7" s="12">
        <v>45721</v>
      </c>
      <c r="C7" s="14" t="s">
        <v>23</v>
      </c>
      <c r="D7" s="14" t="s">
        <v>24</v>
      </c>
      <c r="E7" s="16"/>
      <c r="F7" s="16"/>
      <c r="G7" s="17" t="s">
        <v>14</v>
      </c>
      <c r="H7" s="17"/>
      <c r="I7" s="19">
        <v>10000</v>
      </c>
      <c r="J7" s="17" t="s">
        <v>25</v>
      </c>
      <c r="K7" s="20" t="s">
        <v>22</v>
      </c>
      <c r="L7" s="18">
        <v>45813</v>
      </c>
      <c r="M7" t="s">
        <v>49</v>
      </c>
    </row>
    <row r="8" spans="1:13" x14ac:dyDescent="0.35">
      <c r="A8" s="11">
        <v>5</v>
      </c>
      <c r="B8" s="12">
        <v>45807</v>
      </c>
      <c r="C8" s="14" t="s">
        <v>28</v>
      </c>
      <c r="D8" s="14" t="s">
        <v>26</v>
      </c>
      <c r="E8" s="16"/>
      <c r="F8" s="16">
        <v>45808</v>
      </c>
      <c r="G8" s="17" t="s">
        <v>14</v>
      </c>
      <c r="H8" s="17"/>
      <c r="I8" s="19">
        <v>16560</v>
      </c>
      <c r="J8" s="17" t="s">
        <v>21</v>
      </c>
      <c r="K8" s="20" t="s">
        <v>22</v>
      </c>
      <c r="L8" s="18">
        <v>45818</v>
      </c>
      <c r="M8" t="s">
        <v>50</v>
      </c>
    </row>
    <row r="9" spans="1:13" x14ac:dyDescent="0.35">
      <c r="A9" s="11">
        <v>6</v>
      </c>
      <c r="B9" s="12">
        <v>45815</v>
      </c>
      <c r="C9" s="14" t="s">
        <v>27</v>
      </c>
      <c r="D9" s="14" t="s">
        <v>26</v>
      </c>
      <c r="E9" s="16"/>
      <c r="F9" s="16">
        <v>45816</v>
      </c>
      <c r="G9" s="17" t="s">
        <v>19</v>
      </c>
      <c r="H9" s="17"/>
      <c r="I9" s="19">
        <v>17380</v>
      </c>
      <c r="J9" s="17" t="s">
        <v>21</v>
      </c>
      <c r="K9" s="20" t="s">
        <v>22</v>
      </c>
      <c r="L9" s="18">
        <v>45818</v>
      </c>
      <c r="M9" t="s">
        <v>50</v>
      </c>
    </row>
    <row r="10" spans="1:13" x14ac:dyDescent="0.35">
      <c r="A10" s="11">
        <v>7</v>
      </c>
      <c r="B10" s="12">
        <v>45807</v>
      </c>
      <c r="C10" s="14" t="s">
        <v>29</v>
      </c>
      <c r="D10" s="14" t="s">
        <v>30</v>
      </c>
      <c r="E10" s="16"/>
      <c r="F10" s="12">
        <v>45809</v>
      </c>
      <c r="G10" s="17" t="s">
        <v>19</v>
      </c>
      <c r="H10" s="17"/>
      <c r="I10" s="19">
        <v>31500</v>
      </c>
      <c r="J10" s="17" t="s">
        <v>21</v>
      </c>
      <c r="K10" s="20" t="s">
        <v>22</v>
      </c>
      <c r="L10" s="18">
        <v>45811</v>
      </c>
      <c r="M10" t="s">
        <v>48</v>
      </c>
    </row>
    <row r="11" spans="1:13" x14ac:dyDescent="0.35">
      <c r="A11" s="11">
        <v>8</v>
      </c>
      <c r="B11" s="12">
        <v>45812</v>
      </c>
      <c r="C11" s="14" t="s">
        <v>29</v>
      </c>
      <c r="D11" s="14" t="s">
        <v>30</v>
      </c>
      <c r="E11" s="16"/>
      <c r="F11" s="16">
        <v>45813</v>
      </c>
      <c r="G11" s="17" t="s">
        <v>19</v>
      </c>
      <c r="H11" s="17"/>
      <c r="I11" s="19">
        <v>31500</v>
      </c>
      <c r="J11" s="17" t="s">
        <v>21</v>
      </c>
      <c r="K11" s="20" t="s">
        <v>22</v>
      </c>
      <c r="L11" s="18">
        <v>45821</v>
      </c>
      <c r="M11" t="s">
        <v>48</v>
      </c>
    </row>
    <row r="12" spans="1:13" x14ac:dyDescent="0.35">
      <c r="A12" s="11">
        <v>9</v>
      </c>
      <c r="B12" s="12">
        <v>45817</v>
      </c>
      <c r="C12" s="14" t="s">
        <v>33</v>
      </c>
      <c r="D12" s="14" t="s">
        <v>31</v>
      </c>
      <c r="E12" s="16">
        <v>45818</v>
      </c>
      <c r="F12" s="16">
        <v>45818</v>
      </c>
      <c r="G12" s="17" t="s">
        <v>32</v>
      </c>
      <c r="H12" s="17" t="s">
        <v>34</v>
      </c>
      <c r="I12" s="19">
        <v>250445</v>
      </c>
      <c r="J12" s="17" t="s">
        <v>25</v>
      </c>
      <c r="K12" s="20" t="s">
        <v>22</v>
      </c>
      <c r="L12" s="18">
        <v>45838</v>
      </c>
      <c r="M12" t="s">
        <v>48</v>
      </c>
    </row>
    <row r="13" spans="1:13" x14ac:dyDescent="0.35">
      <c r="A13" s="11">
        <v>10</v>
      </c>
      <c r="B13" s="12"/>
      <c r="C13" s="14" t="s">
        <v>35</v>
      </c>
      <c r="D13" s="14" t="s">
        <v>37</v>
      </c>
      <c r="E13" s="16"/>
      <c r="F13" s="16"/>
      <c r="G13" s="17" t="s">
        <v>14</v>
      </c>
      <c r="H13" s="17"/>
      <c r="I13" s="19">
        <v>300000</v>
      </c>
      <c r="J13" s="17" t="s">
        <v>25</v>
      </c>
      <c r="K13" s="20" t="s">
        <v>22</v>
      </c>
      <c r="L13" s="18">
        <v>45819</v>
      </c>
      <c r="M13" t="s">
        <v>48</v>
      </c>
    </row>
    <row r="14" spans="1:13" x14ac:dyDescent="0.35">
      <c r="A14" s="11">
        <v>11</v>
      </c>
      <c r="B14" s="12"/>
      <c r="C14" s="14" t="s">
        <v>36</v>
      </c>
      <c r="D14" s="14" t="s">
        <v>37</v>
      </c>
      <c r="E14" s="16"/>
      <c r="F14" s="16"/>
      <c r="G14" s="17" t="s">
        <v>32</v>
      </c>
      <c r="H14" s="17"/>
      <c r="I14" s="19">
        <v>75000</v>
      </c>
      <c r="J14" s="17" t="s">
        <v>25</v>
      </c>
      <c r="K14" s="20" t="s">
        <v>22</v>
      </c>
      <c r="L14" s="18">
        <v>45819</v>
      </c>
      <c r="M14" t="s">
        <v>48</v>
      </c>
    </row>
    <row r="15" spans="1:13" x14ac:dyDescent="0.35">
      <c r="A15" s="11">
        <v>12</v>
      </c>
      <c r="B15" s="12">
        <v>45817</v>
      </c>
      <c r="C15" s="14" t="s">
        <v>29</v>
      </c>
      <c r="D15" s="14" t="s">
        <v>30</v>
      </c>
      <c r="E15" s="16"/>
      <c r="F15" s="16">
        <v>45813</v>
      </c>
      <c r="G15" s="17" t="s">
        <v>14</v>
      </c>
      <c r="H15" s="17"/>
      <c r="I15" s="19">
        <v>31500</v>
      </c>
      <c r="J15" s="17" t="s">
        <v>21</v>
      </c>
      <c r="K15" s="20" t="s">
        <v>22</v>
      </c>
      <c r="L15" s="18">
        <v>45821</v>
      </c>
      <c r="M15" t="s">
        <v>48</v>
      </c>
    </row>
    <row r="16" spans="1:13" x14ac:dyDescent="0.35">
      <c r="A16" s="11">
        <v>13</v>
      </c>
      <c r="B16" s="12">
        <v>45820</v>
      </c>
      <c r="C16" s="14" t="s">
        <v>38</v>
      </c>
      <c r="D16" s="14" t="s">
        <v>39</v>
      </c>
      <c r="E16" s="16">
        <v>45821</v>
      </c>
      <c r="F16" s="16">
        <v>45820</v>
      </c>
      <c r="G16" s="17" t="s">
        <v>32</v>
      </c>
      <c r="H16" s="17">
        <v>131</v>
      </c>
      <c r="I16" s="19">
        <v>37000</v>
      </c>
      <c r="J16" s="17" t="s">
        <v>21</v>
      </c>
      <c r="K16" s="20" t="s">
        <v>22</v>
      </c>
      <c r="L16" s="18">
        <v>45822</v>
      </c>
      <c r="M16" t="s">
        <v>49</v>
      </c>
    </row>
    <row r="17" spans="1:14" x14ac:dyDescent="0.35">
      <c r="A17" s="11">
        <v>14</v>
      </c>
      <c r="B17" s="12">
        <v>45820</v>
      </c>
      <c r="C17" s="14" t="s">
        <v>41</v>
      </c>
      <c r="D17" s="14" t="s">
        <v>40</v>
      </c>
      <c r="E17" s="16">
        <v>45821</v>
      </c>
      <c r="F17" s="16">
        <v>45820</v>
      </c>
      <c r="G17" s="17" t="s">
        <v>32</v>
      </c>
      <c r="H17" s="17"/>
      <c r="I17" s="19">
        <v>38533</v>
      </c>
      <c r="J17" s="17" t="s">
        <v>21</v>
      </c>
      <c r="K17" s="20" t="s">
        <v>22</v>
      </c>
      <c r="L17" s="18">
        <v>45826</v>
      </c>
      <c r="M17" t="s">
        <v>48</v>
      </c>
    </row>
    <row r="18" spans="1:14" x14ac:dyDescent="0.35">
      <c r="A18" s="11">
        <v>15</v>
      </c>
      <c r="B18" s="12">
        <v>45820</v>
      </c>
      <c r="C18" s="14" t="s">
        <v>42</v>
      </c>
      <c r="D18" s="14" t="s">
        <v>40</v>
      </c>
      <c r="E18" s="16">
        <v>45821</v>
      </c>
      <c r="F18" s="16">
        <v>45820</v>
      </c>
      <c r="G18" s="17" t="s">
        <v>32</v>
      </c>
      <c r="H18" s="17"/>
      <c r="I18" s="19">
        <v>31713</v>
      </c>
      <c r="J18" s="17" t="s">
        <v>21</v>
      </c>
      <c r="K18" s="20" t="s">
        <v>22</v>
      </c>
      <c r="L18" s="18">
        <v>45826</v>
      </c>
      <c r="M18" t="s">
        <v>48</v>
      </c>
    </row>
    <row r="19" spans="1:14" x14ac:dyDescent="0.35">
      <c r="A19" s="11">
        <v>16</v>
      </c>
      <c r="B19" s="12">
        <v>45821</v>
      </c>
      <c r="C19" s="14" t="s">
        <v>43</v>
      </c>
      <c r="D19" s="14" t="s">
        <v>44</v>
      </c>
      <c r="E19" s="16"/>
      <c r="F19" s="16">
        <v>45822</v>
      </c>
      <c r="G19" s="17" t="s">
        <v>19</v>
      </c>
      <c r="H19" s="17">
        <v>522</v>
      </c>
      <c r="I19" s="19">
        <v>32500</v>
      </c>
      <c r="J19" s="17" t="s">
        <v>21</v>
      </c>
      <c r="K19" s="20" t="s">
        <v>22</v>
      </c>
      <c r="L19" s="18">
        <v>45822</v>
      </c>
      <c r="M19" t="s">
        <v>49</v>
      </c>
    </row>
    <row r="20" spans="1:14" x14ac:dyDescent="0.35">
      <c r="A20" s="11">
        <v>17</v>
      </c>
      <c r="B20" s="12">
        <v>45821</v>
      </c>
      <c r="C20" s="14" t="s">
        <v>45</v>
      </c>
      <c r="D20" s="14" t="s">
        <v>46</v>
      </c>
      <c r="E20" s="16"/>
      <c r="F20" s="16">
        <v>45824</v>
      </c>
      <c r="G20" s="17" t="s">
        <v>19</v>
      </c>
      <c r="H20" s="17"/>
      <c r="I20" s="19">
        <v>36500</v>
      </c>
      <c r="J20" s="17" t="s">
        <v>25</v>
      </c>
      <c r="K20" s="20" t="s">
        <v>22</v>
      </c>
      <c r="L20" s="18">
        <v>45824</v>
      </c>
      <c r="M20" t="s">
        <v>48</v>
      </c>
    </row>
    <row r="21" spans="1:14" x14ac:dyDescent="0.35">
      <c r="A21" s="11">
        <v>18</v>
      </c>
      <c r="B21" s="12">
        <v>45821</v>
      </c>
      <c r="C21" s="14" t="s">
        <v>51</v>
      </c>
      <c r="D21" s="14"/>
      <c r="E21" s="16"/>
      <c r="F21" s="16"/>
      <c r="G21" s="17" t="s">
        <v>32</v>
      </c>
      <c r="H21" s="17"/>
      <c r="I21" s="19">
        <v>3210</v>
      </c>
      <c r="J21" s="17" t="s">
        <v>21</v>
      </c>
      <c r="K21" s="20" t="s">
        <v>22</v>
      </c>
      <c r="L21" s="18">
        <v>45821</v>
      </c>
    </row>
    <row r="22" spans="1:14" x14ac:dyDescent="0.35">
      <c r="A22" s="11">
        <v>19</v>
      </c>
      <c r="B22" s="12">
        <v>45815</v>
      </c>
      <c r="C22" s="14" t="s">
        <v>55</v>
      </c>
      <c r="D22" s="14" t="s">
        <v>60</v>
      </c>
      <c r="E22" s="16"/>
      <c r="F22" s="16"/>
      <c r="G22" s="17" t="s">
        <v>52</v>
      </c>
      <c r="H22" s="17">
        <v>3790</v>
      </c>
      <c r="I22" s="19">
        <v>3811</v>
      </c>
      <c r="J22" s="17" t="s">
        <v>25</v>
      </c>
      <c r="K22" s="20" t="s">
        <v>22</v>
      </c>
      <c r="L22" s="18">
        <v>45819</v>
      </c>
    </row>
    <row r="23" spans="1:14" x14ac:dyDescent="0.35">
      <c r="A23" s="11">
        <v>20</v>
      </c>
      <c r="B23" s="12">
        <v>45824</v>
      </c>
      <c r="C23" s="14" t="s">
        <v>29</v>
      </c>
      <c r="D23" s="14" t="s">
        <v>30</v>
      </c>
      <c r="E23" s="16"/>
      <c r="F23" s="16"/>
      <c r="G23" s="17" t="s">
        <v>14</v>
      </c>
      <c r="H23" s="17"/>
      <c r="I23" s="19">
        <v>63000</v>
      </c>
      <c r="J23" s="17" t="s">
        <v>21</v>
      </c>
      <c r="K23" s="20" t="s">
        <v>22</v>
      </c>
      <c r="L23" s="18">
        <v>45821</v>
      </c>
      <c r="M23" t="s">
        <v>48</v>
      </c>
    </row>
    <row r="24" spans="1:14" x14ac:dyDescent="0.35">
      <c r="A24" s="11">
        <v>21</v>
      </c>
      <c r="B24" s="12">
        <v>45824</v>
      </c>
      <c r="C24" s="14" t="s">
        <v>38</v>
      </c>
      <c r="D24" s="14" t="s">
        <v>18</v>
      </c>
      <c r="E24" s="16"/>
      <c r="F24" s="16"/>
      <c r="G24" s="17" t="s">
        <v>32</v>
      </c>
      <c r="H24" s="17" t="s">
        <v>57</v>
      </c>
      <c r="I24" s="19">
        <v>37000</v>
      </c>
      <c r="J24" s="17" t="s">
        <v>21</v>
      </c>
      <c r="K24" s="20" t="s">
        <v>22</v>
      </c>
      <c r="L24" s="18">
        <v>45831</v>
      </c>
      <c r="M24" t="s">
        <v>49</v>
      </c>
    </row>
    <row r="25" spans="1:14" x14ac:dyDescent="0.35">
      <c r="A25" s="11">
        <v>22</v>
      </c>
      <c r="B25" s="12">
        <v>45824</v>
      </c>
      <c r="C25" s="14" t="s">
        <v>58</v>
      </c>
      <c r="D25" s="14" t="s">
        <v>59</v>
      </c>
      <c r="E25" s="16"/>
      <c r="F25" s="16"/>
      <c r="G25" s="17" t="s">
        <v>52</v>
      </c>
      <c r="H25" s="17"/>
      <c r="I25" s="19">
        <v>10750</v>
      </c>
      <c r="J25" s="17" t="s">
        <v>25</v>
      </c>
      <c r="K25" s="20" t="s">
        <v>22</v>
      </c>
      <c r="L25" s="18">
        <v>45824</v>
      </c>
      <c r="M25" t="s">
        <v>49</v>
      </c>
    </row>
    <row r="26" spans="1:14" x14ac:dyDescent="0.35">
      <c r="A26" s="11">
        <v>23</v>
      </c>
      <c r="B26" s="18">
        <v>45825</v>
      </c>
      <c r="C26" s="14" t="s">
        <v>61</v>
      </c>
      <c r="D26" s="14" t="s">
        <v>59</v>
      </c>
      <c r="E26" s="16"/>
      <c r="F26" s="16"/>
      <c r="G26" s="17" t="s">
        <v>52</v>
      </c>
      <c r="H26" s="17"/>
      <c r="I26" s="19">
        <v>1500</v>
      </c>
      <c r="J26" s="17" t="s">
        <v>25</v>
      </c>
      <c r="K26" s="20" t="s">
        <v>22</v>
      </c>
      <c r="L26" s="18">
        <v>45825</v>
      </c>
      <c r="M26" t="s">
        <v>49</v>
      </c>
    </row>
    <row r="27" spans="1:14" x14ac:dyDescent="0.35">
      <c r="A27" s="11">
        <v>24</v>
      </c>
      <c r="B27" s="18">
        <v>45825</v>
      </c>
      <c r="C27" s="14" t="s">
        <v>58</v>
      </c>
      <c r="D27" s="14" t="s">
        <v>59</v>
      </c>
      <c r="E27" s="16"/>
      <c r="F27" s="16"/>
      <c r="G27" s="17" t="s">
        <v>52</v>
      </c>
      <c r="H27" s="17"/>
      <c r="I27" s="19">
        <v>2400</v>
      </c>
      <c r="J27" s="17" t="s">
        <v>25</v>
      </c>
      <c r="K27" s="20" t="s">
        <v>22</v>
      </c>
      <c r="L27" s="18">
        <v>45825</v>
      </c>
      <c r="M27" t="s">
        <v>49</v>
      </c>
    </row>
    <row r="28" spans="1:14" x14ac:dyDescent="0.35">
      <c r="A28" s="11">
        <v>25</v>
      </c>
      <c r="B28" s="12"/>
      <c r="C28" s="14" t="s">
        <v>62</v>
      </c>
      <c r="D28" s="14" t="s">
        <v>63</v>
      </c>
      <c r="E28" s="16"/>
      <c r="F28" s="16"/>
      <c r="G28" s="17" t="s">
        <v>19</v>
      </c>
      <c r="H28" s="17"/>
      <c r="I28" s="19">
        <v>35000</v>
      </c>
      <c r="J28" s="17" t="s">
        <v>15</v>
      </c>
      <c r="K28" s="20" t="s">
        <v>22</v>
      </c>
      <c r="L28" s="18">
        <v>45825</v>
      </c>
      <c r="M28" t="s">
        <v>48</v>
      </c>
      <c r="N28" t="s">
        <v>64</v>
      </c>
    </row>
    <row r="29" spans="1:14" x14ac:dyDescent="0.35">
      <c r="A29" s="11">
        <v>26</v>
      </c>
      <c r="B29" s="12"/>
      <c r="C29" s="14" t="s">
        <v>38</v>
      </c>
      <c r="D29" s="14" t="s">
        <v>18</v>
      </c>
      <c r="E29" s="16"/>
      <c r="F29" s="16"/>
      <c r="G29" s="17" t="s">
        <v>32</v>
      </c>
      <c r="H29" s="17" t="s">
        <v>65</v>
      </c>
      <c r="I29" s="19">
        <v>35000</v>
      </c>
      <c r="J29" s="17" t="s">
        <v>21</v>
      </c>
      <c r="K29" s="20" t="s">
        <v>22</v>
      </c>
      <c r="L29" s="18">
        <v>45831</v>
      </c>
      <c r="M29" t="s">
        <v>49</v>
      </c>
    </row>
    <row r="30" spans="1:14" x14ac:dyDescent="0.35">
      <c r="A30" s="11">
        <v>27</v>
      </c>
      <c r="B30" s="12"/>
      <c r="C30" s="14" t="s">
        <v>66</v>
      </c>
      <c r="D30" s="14" t="s">
        <v>18</v>
      </c>
      <c r="E30" s="16"/>
      <c r="F30" s="16"/>
      <c r="G30" s="17" t="s">
        <v>14</v>
      </c>
      <c r="H30" s="17" t="s">
        <v>67</v>
      </c>
      <c r="I30" s="19">
        <v>17500</v>
      </c>
      <c r="J30" s="17" t="s">
        <v>21</v>
      </c>
      <c r="K30" s="20" t="s">
        <v>22</v>
      </c>
      <c r="L30" s="18">
        <v>45831</v>
      </c>
      <c r="M30" t="s">
        <v>49</v>
      </c>
    </row>
    <row r="31" spans="1:14" x14ac:dyDescent="0.35">
      <c r="A31" s="11">
        <v>28</v>
      </c>
      <c r="B31" s="12">
        <v>45830</v>
      </c>
      <c r="C31" s="14" t="s">
        <v>125</v>
      </c>
      <c r="D31" s="14" t="s">
        <v>124</v>
      </c>
      <c r="E31" s="16"/>
      <c r="F31" s="16">
        <v>45831</v>
      </c>
      <c r="G31" s="17" t="s">
        <v>32</v>
      </c>
      <c r="H31" s="17" t="s">
        <v>123</v>
      </c>
      <c r="I31" s="19">
        <v>90446</v>
      </c>
      <c r="J31" s="17" t="s">
        <v>25</v>
      </c>
      <c r="K31" s="20" t="s">
        <v>22</v>
      </c>
      <c r="L31" s="18">
        <v>45831</v>
      </c>
      <c r="M31" t="s">
        <v>49</v>
      </c>
    </row>
    <row r="32" spans="1:14" x14ac:dyDescent="0.35">
      <c r="A32" s="11">
        <v>29</v>
      </c>
      <c r="B32" s="12">
        <v>45834</v>
      </c>
      <c r="C32" s="14" t="s">
        <v>71</v>
      </c>
      <c r="D32" s="14" t="s">
        <v>68</v>
      </c>
      <c r="E32" s="16"/>
      <c r="F32" s="16"/>
      <c r="G32" s="17" t="s">
        <v>32</v>
      </c>
      <c r="H32" s="17"/>
      <c r="I32" s="19">
        <v>24000</v>
      </c>
      <c r="J32" s="17" t="s">
        <v>25</v>
      </c>
      <c r="K32" s="20" t="s">
        <v>22</v>
      </c>
      <c r="L32" s="18">
        <v>45835</v>
      </c>
      <c r="M32" t="s">
        <v>48</v>
      </c>
    </row>
    <row r="33" spans="1:13" x14ac:dyDescent="0.35">
      <c r="A33" s="11">
        <v>30</v>
      </c>
      <c r="B33" s="12">
        <v>45835</v>
      </c>
      <c r="C33" s="14" t="s">
        <v>72</v>
      </c>
      <c r="D33" s="14" t="s">
        <v>68</v>
      </c>
      <c r="E33" s="16"/>
      <c r="F33" s="16"/>
      <c r="G33" s="17" t="s">
        <v>32</v>
      </c>
      <c r="H33" s="17"/>
      <c r="I33" s="19">
        <v>28000</v>
      </c>
      <c r="J33" s="17" t="s">
        <v>25</v>
      </c>
      <c r="K33" s="20" t="s">
        <v>22</v>
      </c>
      <c r="L33" s="18">
        <v>45835</v>
      </c>
      <c r="M33" t="s">
        <v>48</v>
      </c>
    </row>
    <row r="34" spans="1:13" x14ac:dyDescent="0.35">
      <c r="A34" s="11">
        <v>31</v>
      </c>
      <c r="B34" s="12">
        <v>45824</v>
      </c>
      <c r="C34" s="14" t="s">
        <v>41</v>
      </c>
      <c r="D34" s="14" t="s">
        <v>40</v>
      </c>
      <c r="E34" s="16"/>
      <c r="F34" s="16"/>
      <c r="G34" s="17" t="s">
        <v>32</v>
      </c>
      <c r="H34" s="17"/>
      <c r="I34" s="19">
        <v>38533</v>
      </c>
      <c r="J34" s="17" t="s">
        <v>21</v>
      </c>
      <c r="K34" s="20" t="s">
        <v>22</v>
      </c>
      <c r="L34" s="18">
        <v>45835</v>
      </c>
      <c r="M34" t="s">
        <v>48</v>
      </c>
    </row>
    <row r="35" spans="1:13" x14ac:dyDescent="0.35">
      <c r="A35" s="11">
        <v>32</v>
      </c>
      <c r="B35" s="12">
        <v>45834</v>
      </c>
      <c r="C35" s="14" t="s">
        <v>42</v>
      </c>
      <c r="D35" s="14" t="s">
        <v>40</v>
      </c>
      <c r="E35" s="16"/>
      <c r="F35" s="16"/>
      <c r="G35" s="17" t="s">
        <v>32</v>
      </c>
      <c r="H35" s="17"/>
      <c r="I35" s="19">
        <v>31713</v>
      </c>
      <c r="J35" s="17" t="s">
        <v>21</v>
      </c>
      <c r="K35" s="20" t="s">
        <v>22</v>
      </c>
      <c r="L35" s="18">
        <v>45835</v>
      </c>
      <c r="M35" t="s">
        <v>48</v>
      </c>
    </row>
    <row r="36" spans="1:13" x14ac:dyDescent="0.35">
      <c r="A36" s="11">
        <v>33</v>
      </c>
      <c r="B36" s="12">
        <v>45833</v>
      </c>
      <c r="C36" s="14" t="s">
        <v>69</v>
      </c>
      <c r="D36" s="14" t="s">
        <v>46</v>
      </c>
      <c r="E36" s="16"/>
      <c r="F36" s="16"/>
      <c r="G36" s="17" t="s">
        <v>19</v>
      </c>
      <c r="H36" s="17"/>
      <c r="I36" s="19">
        <v>3000</v>
      </c>
      <c r="J36" s="17" t="s">
        <v>25</v>
      </c>
      <c r="K36" s="20" t="s">
        <v>22</v>
      </c>
      <c r="L36" s="18">
        <v>45833</v>
      </c>
      <c r="M36" t="s">
        <v>49</v>
      </c>
    </row>
    <row r="37" spans="1:13" x14ac:dyDescent="0.35">
      <c r="A37" s="11">
        <v>34</v>
      </c>
      <c r="B37" s="12"/>
      <c r="C37" s="14" t="s">
        <v>70</v>
      </c>
      <c r="D37" s="14" t="s">
        <v>37</v>
      </c>
      <c r="E37" s="16"/>
      <c r="F37" s="16"/>
      <c r="G37" s="17" t="s">
        <v>32</v>
      </c>
      <c r="H37" s="17"/>
      <c r="I37" s="19">
        <v>120000</v>
      </c>
      <c r="J37" s="17" t="s">
        <v>25</v>
      </c>
      <c r="K37" s="20" t="s">
        <v>22</v>
      </c>
      <c r="L37" s="18">
        <v>45836</v>
      </c>
      <c r="M37" t="s">
        <v>48</v>
      </c>
    </row>
    <row r="38" spans="1:13" x14ac:dyDescent="0.35">
      <c r="A38" s="11"/>
      <c r="B38" s="12"/>
      <c r="C38" s="14" t="s">
        <v>73</v>
      </c>
      <c r="D38" s="14" t="s">
        <v>74</v>
      </c>
      <c r="E38" s="16"/>
      <c r="F38" s="16"/>
      <c r="G38" s="17" t="s">
        <v>14</v>
      </c>
      <c r="H38" s="17"/>
      <c r="I38" s="19">
        <v>10000</v>
      </c>
      <c r="J38" s="17" t="s">
        <v>25</v>
      </c>
      <c r="K38" s="20" t="s">
        <v>22</v>
      </c>
      <c r="L38" s="18">
        <v>45835</v>
      </c>
      <c r="M38" t="s">
        <v>49</v>
      </c>
    </row>
    <row r="39" spans="1:13" x14ac:dyDescent="0.35">
      <c r="A39" s="11"/>
      <c r="B39" s="12"/>
      <c r="C39" s="14" t="s">
        <v>62</v>
      </c>
      <c r="D39" s="14" t="s">
        <v>63</v>
      </c>
      <c r="E39" s="16"/>
      <c r="F39" s="16"/>
      <c r="G39" s="17" t="s">
        <v>14</v>
      </c>
      <c r="H39" s="17"/>
      <c r="I39" s="19">
        <v>15000</v>
      </c>
      <c r="J39" s="17" t="s">
        <v>25</v>
      </c>
      <c r="K39" s="20" t="s">
        <v>22</v>
      </c>
      <c r="L39" s="18">
        <v>45814</v>
      </c>
      <c r="M39" t="s">
        <v>49</v>
      </c>
    </row>
    <row r="40" spans="1:13" x14ac:dyDescent="0.35">
      <c r="A40" s="11"/>
      <c r="B40" s="12"/>
      <c r="C40" s="14" t="s">
        <v>141</v>
      </c>
      <c r="D40" s="14" t="s">
        <v>140</v>
      </c>
      <c r="E40" s="16"/>
      <c r="F40" s="16"/>
      <c r="G40" s="17" t="s">
        <v>14</v>
      </c>
      <c r="H40" s="17"/>
      <c r="I40" s="19">
        <v>5000</v>
      </c>
      <c r="J40" s="17" t="s">
        <v>25</v>
      </c>
      <c r="K40" s="20" t="s">
        <v>22</v>
      </c>
      <c r="L40" s="18">
        <v>45835</v>
      </c>
    </row>
    <row r="41" spans="1:13" x14ac:dyDescent="0.35">
      <c r="A41" s="11"/>
      <c r="B41" s="12"/>
      <c r="C41" s="14"/>
      <c r="D41" s="14"/>
      <c r="E41" s="16"/>
      <c r="F41" s="16"/>
      <c r="G41" s="17"/>
      <c r="H41" s="17"/>
      <c r="I41" s="19"/>
      <c r="J41" s="17"/>
      <c r="K41" s="20"/>
      <c r="L41" s="18"/>
    </row>
    <row r="42" spans="1:13" x14ac:dyDescent="0.35">
      <c r="A42" s="11"/>
      <c r="B42" s="12"/>
      <c r="C42" s="14"/>
      <c r="D42" s="14"/>
      <c r="E42" s="16"/>
      <c r="F42" s="16"/>
      <c r="G42" s="17"/>
      <c r="H42" s="17"/>
      <c r="I42" s="19"/>
      <c r="J42" s="17"/>
      <c r="K42" s="20"/>
      <c r="L42" s="18"/>
    </row>
    <row r="43" spans="1:13" x14ac:dyDescent="0.35">
      <c r="A43" s="11"/>
      <c r="B43" s="12"/>
      <c r="C43" s="14"/>
      <c r="D43" s="14"/>
      <c r="E43" s="16"/>
      <c r="F43" s="16"/>
      <c r="G43" s="17"/>
      <c r="H43" s="17"/>
      <c r="I43" s="19"/>
      <c r="J43" s="17"/>
      <c r="K43" s="20"/>
      <c r="L43" s="18"/>
    </row>
    <row r="44" spans="1:13" x14ac:dyDescent="0.35">
      <c r="A44" s="11"/>
      <c r="B44" s="12"/>
      <c r="C44" s="14"/>
      <c r="D44" s="14"/>
      <c r="E44" s="16"/>
      <c r="F44" s="16"/>
      <c r="G44" s="17"/>
      <c r="H44" s="17"/>
      <c r="I44" s="19"/>
      <c r="J44" s="17"/>
      <c r="K44" s="20"/>
      <c r="L44" s="18"/>
    </row>
    <row r="45" spans="1:13" x14ac:dyDescent="0.35">
      <c r="A45" s="11"/>
      <c r="B45" s="12"/>
      <c r="C45" s="14"/>
      <c r="D45" s="14"/>
      <c r="E45" s="16"/>
      <c r="F45" s="16"/>
      <c r="G45" s="17"/>
      <c r="H45" s="17"/>
      <c r="I45" s="19"/>
      <c r="J45" s="17"/>
      <c r="K45" s="20"/>
      <c r="L45" s="18"/>
    </row>
    <row r="46" spans="1:13" x14ac:dyDescent="0.35">
      <c r="A46" s="11"/>
      <c r="B46" s="12"/>
      <c r="C46" s="14"/>
      <c r="D46" s="14"/>
      <c r="E46" s="16"/>
      <c r="F46" s="16"/>
      <c r="G46" s="17"/>
      <c r="H46" s="17"/>
      <c r="I46" s="19"/>
      <c r="J46" s="17"/>
      <c r="K46" s="20"/>
      <c r="L46" s="18"/>
    </row>
    <row r="47" spans="1:13" x14ac:dyDescent="0.35">
      <c r="A47" s="11"/>
      <c r="B47" s="12"/>
      <c r="C47" s="14"/>
      <c r="D47" s="14"/>
      <c r="E47" s="16"/>
      <c r="F47" s="16"/>
      <c r="G47" s="17"/>
      <c r="H47" s="17"/>
      <c r="I47" s="19"/>
      <c r="J47" s="17"/>
      <c r="K47" s="20"/>
      <c r="L47" s="18"/>
    </row>
    <row r="48" spans="1:13" x14ac:dyDescent="0.35">
      <c r="A48" s="11"/>
      <c r="B48" s="12"/>
      <c r="C48" s="14"/>
      <c r="D48" s="14"/>
      <c r="E48" s="16"/>
      <c r="F48" s="16"/>
      <c r="G48" s="17"/>
      <c r="H48" s="17"/>
      <c r="I48" s="19"/>
      <c r="J48" s="17"/>
      <c r="K48" s="20"/>
      <c r="L48" s="18"/>
    </row>
    <row r="49" spans="1:12" ht="18.5" x14ac:dyDescent="0.45">
      <c r="A49" s="44" t="s">
        <v>47</v>
      </c>
      <c r="B49" s="45"/>
      <c r="C49" s="45"/>
      <c r="D49" s="45"/>
      <c r="E49" s="45"/>
      <c r="F49" s="45"/>
      <c r="G49" s="45"/>
      <c r="H49" s="46"/>
      <c r="I49" s="22">
        <f>SUM(I4:I48)</f>
        <v>2102744</v>
      </c>
      <c r="J49" s="8"/>
      <c r="K49" s="8"/>
      <c r="L49" s="9"/>
    </row>
    <row r="66" spans="8:8" x14ac:dyDescent="0.35">
      <c r="H66" s="23"/>
    </row>
  </sheetData>
  <autoFilter ref="B2:L49"/>
  <mergeCells count="2">
    <mergeCell ref="A1:L1"/>
    <mergeCell ref="A49:H49"/>
  </mergeCells>
  <pageMargins left="0.70866141732283472" right="0.70866141732283472" top="0.74803149606299213" bottom="0.74803149606299213" header="0.31496062992125984" footer="0.31496062992125984"/>
  <pageSetup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view="pageBreakPreview" zoomScale="85" zoomScaleNormal="160" zoomScaleSheetLayoutView="85" workbookViewId="0">
      <pane ySplit="2" topLeftCell="A48" activePane="bottomLeft" state="frozen"/>
      <selection pane="bottomLeft" activeCell="I18" sqref="I18"/>
    </sheetView>
  </sheetViews>
  <sheetFormatPr defaultRowHeight="14.5" x14ac:dyDescent="0.35"/>
  <cols>
    <col min="1" max="1" width="4.6328125" customWidth="1"/>
    <col min="2" max="2" width="10.81640625" customWidth="1"/>
    <col min="3" max="3" width="29.36328125" customWidth="1"/>
    <col min="4" max="4" width="19.1796875" customWidth="1"/>
    <col min="5" max="6" width="10.90625" customWidth="1"/>
    <col min="7" max="7" width="9.6328125" customWidth="1"/>
    <col min="8" max="8" width="11.81640625" customWidth="1"/>
    <col min="9" max="9" width="18.08984375" customWidth="1"/>
    <col min="10" max="12" width="11.81640625" customWidth="1"/>
    <col min="13" max="13" width="13.453125" customWidth="1"/>
    <col min="14" max="16" width="11.81640625" customWidth="1"/>
  </cols>
  <sheetData>
    <row r="1" spans="1:13" ht="21" x14ac:dyDescent="0.35">
      <c r="A1" s="42" t="s">
        <v>11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3" ht="31" x14ac:dyDescent="0.35">
      <c r="A2" s="1" t="s">
        <v>4</v>
      </c>
      <c r="B2" s="1" t="s">
        <v>0</v>
      </c>
      <c r="C2" s="1" t="s">
        <v>5</v>
      </c>
      <c r="D2" s="1" t="s">
        <v>12</v>
      </c>
      <c r="E2" s="1" t="s">
        <v>1</v>
      </c>
      <c r="F2" s="1" t="s">
        <v>2</v>
      </c>
      <c r="G2" s="1" t="s">
        <v>6</v>
      </c>
      <c r="H2" s="1" t="s">
        <v>3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3" x14ac:dyDescent="0.35">
      <c r="A3" s="2"/>
      <c r="B3" s="10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3" x14ac:dyDescent="0.35">
      <c r="A4" s="11">
        <v>1</v>
      </c>
      <c r="B4" s="12">
        <v>45815</v>
      </c>
      <c r="C4" s="14" t="s">
        <v>54</v>
      </c>
      <c r="D4" s="14" t="s">
        <v>56</v>
      </c>
      <c r="E4" s="16"/>
      <c r="F4" s="16"/>
      <c r="G4" s="17" t="s">
        <v>52</v>
      </c>
      <c r="H4" s="17"/>
      <c r="I4" s="19">
        <v>1039</v>
      </c>
      <c r="J4" s="17" t="s">
        <v>25</v>
      </c>
      <c r="K4" s="20" t="s">
        <v>22</v>
      </c>
      <c r="L4" s="18">
        <v>45857</v>
      </c>
    </row>
    <row r="5" spans="1:13" x14ac:dyDescent="0.35">
      <c r="A5" s="11">
        <v>2</v>
      </c>
      <c r="B5" s="12">
        <v>45817</v>
      </c>
      <c r="C5" s="14" t="s">
        <v>53</v>
      </c>
      <c r="D5" s="14" t="s">
        <v>56</v>
      </c>
      <c r="E5" s="16"/>
      <c r="F5" s="16"/>
      <c r="G5" s="17" t="s">
        <v>52</v>
      </c>
      <c r="H5" s="17"/>
      <c r="I5" s="19">
        <v>1980</v>
      </c>
      <c r="J5" s="17" t="s">
        <v>25</v>
      </c>
      <c r="K5" s="20" t="s">
        <v>22</v>
      </c>
      <c r="L5" s="18">
        <v>45857</v>
      </c>
    </row>
    <row r="6" spans="1:13" x14ac:dyDescent="0.35">
      <c r="A6" s="11">
        <v>3</v>
      </c>
      <c r="B6" s="12">
        <v>45834</v>
      </c>
      <c r="C6" s="14" t="s">
        <v>41</v>
      </c>
      <c r="D6" s="14" t="s">
        <v>40</v>
      </c>
      <c r="E6" s="16"/>
      <c r="F6" s="16"/>
      <c r="G6" s="17" t="s">
        <v>32</v>
      </c>
      <c r="H6" s="17"/>
      <c r="I6" s="19">
        <v>38533</v>
      </c>
      <c r="J6" s="17" t="s">
        <v>21</v>
      </c>
      <c r="K6" s="20" t="s">
        <v>22</v>
      </c>
      <c r="L6" s="18">
        <v>45853</v>
      </c>
      <c r="M6" t="s">
        <v>48</v>
      </c>
    </row>
    <row r="7" spans="1:13" x14ac:dyDescent="0.35">
      <c r="A7" s="11">
        <v>4</v>
      </c>
      <c r="B7" s="12">
        <v>45833</v>
      </c>
      <c r="C7" s="14" t="s">
        <v>75</v>
      </c>
      <c r="D7" s="14" t="s">
        <v>30</v>
      </c>
      <c r="E7" s="16"/>
      <c r="F7" s="16">
        <v>45834</v>
      </c>
      <c r="G7" s="17" t="s">
        <v>14</v>
      </c>
      <c r="H7" s="17"/>
      <c r="I7" s="19">
        <v>31500</v>
      </c>
      <c r="J7" s="17" t="s">
        <v>21</v>
      </c>
      <c r="K7" s="20" t="s">
        <v>22</v>
      </c>
      <c r="L7" s="18">
        <v>45114</v>
      </c>
      <c r="M7" t="s">
        <v>48</v>
      </c>
    </row>
    <row r="8" spans="1:13" x14ac:dyDescent="0.35">
      <c r="A8" s="11">
        <v>5</v>
      </c>
      <c r="B8" s="12">
        <v>45836</v>
      </c>
      <c r="C8" s="14" t="s">
        <v>75</v>
      </c>
      <c r="D8" s="14" t="s">
        <v>30</v>
      </c>
      <c r="E8" s="16"/>
      <c r="F8" s="16">
        <v>45838</v>
      </c>
      <c r="G8" s="17" t="s">
        <v>14</v>
      </c>
      <c r="H8" s="17"/>
      <c r="I8" s="19">
        <v>31500</v>
      </c>
      <c r="J8" s="17" t="s">
        <v>21</v>
      </c>
      <c r="K8" s="20" t="s">
        <v>22</v>
      </c>
      <c r="L8" s="18">
        <v>45114</v>
      </c>
      <c r="M8" t="s">
        <v>48</v>
      </c>
    </row>
    <row r="9" spans="1:13" x14ac:dyDescent="0.35">
      <c r="A9" s="11">
        <v>6</v>
      </c>
      <c r="B9" s="12">
        <v>45839</v>
      </c>
      <c r="C9" s="14" t="s">
        <v>75</v>
      </c>
      <c r="D9" s="14" t="s">
        <v>30</v>
      </c>
      <c r="E9" s="16"/>
      <c r="F9" s="16">
        <v>45839</v>
      </c>
      <c r="G9" s="17" t="s">
        <v>14</v>
      </c>
      <c r="H9" s="17"/>
      <c r="I9" s="19">
        <v>31500</v>
      </c>
      <c r="J9" s="17" t="s">
        <v>21</v>
      </c>
      <c r="K9" s="20" t="s">
        <v>22</v>
      </c>
      <c r="L9" s="18">
        <v>45114</v>
      </c>
      <c r="M9" t="s">
        <v>48</v>
      </c>
    </row>
    <row r="10" spans="1:13" x14ac:dyDescent="0.35">
      <c r="A10" s="11">
        <v>7</v>
      </c>
      <c r="B10" s="12">
        <v>45840</v>
      </c>
      <c r="C10" s="14" t="s">
        <v>75</v>
      </c>
      <c r="D10" s="14" t="s">
        <v>30</v>
      </c>
      <c r="E10" s="16"/>
      <c r="F10" s="16">
        <v>45840</v>
      </c>
      <c r="G10" s="17" t="s">
        <v>14</v>
      </c>
      <c r="H10" s="17"/>
      <c r="I10" s="19">
        <v>31500</v>
      </c>
      <c r="J10" s="17" t="s">
        <v>21</v>
      </c>
      <c r="K10" s="20" t="s">
        <v>22</v>
      </c>
      <c r="L10" s="18">
        <v>45114</v>
      </c>
      <c r="M10" t="s">
        <v>48</v>
      </c>
    </row>
    <row r="11" spans="1:13" x14ac:dyDescent="0.35">
      <c r="A11" s="11">
        <v>8</v>
      </c>
      <c r="B11" s="12"/>
      <c r="C11" s="14" t="s">
        <v>112</v>
      </c>
      <c r="D11" s="14" t="s">
        <v>26</v>
      </c>
      <c r="E11" s="16"/>
      <c r="F11" s="16">
        <v>45825</v>
      </c>
      <c r="G11" s="17" t="s">
        <v>32</v>
      </c>
      <c r="H11" s="17"/>
      <c r="I11" s="19">
        <v>10600</v>
      </c>
      <c r="J11" s="17" t="s">
        <v>21</v>
      </c>
      <c r="K11" s="20" t="s">
        <v>22</v>
      </c>
      <c r="L11" s="18">
        <v>45854</v>
      </c>
      <c r="M11" t="s">
        <v>48</v>
      </c>
    </row>
    <row r="12" spans="1:13" x14ac:dyDescent="0.35">
      <c r="A12" s="11">
        <v>9</v>
      </c>
      <c r="B12" s="12"/>
      <c r="C12" s="14" t="s">
        <v>76</v>
      </c>
      <c r="D12" s="14" t="s">
        <v>26</v>
      </c>
      <c r="E12" s="16"/>
      <c r="F12" s="16">
        <v>45828</v>
      </c>
      <c r="G12" s="17" t="s">
        <v>14</v>
      </c>
      <c r="H12" s="17"/>
      <c r="I12" s="19">
        <v>16400</v>
      </c>
      <c r="J12" s="17" t="s">
        <v>21</v>
      </c>
      <c r="K12" s="20" t="s">
        <v>22</v>
      </c>
      <c r="L12" s="18">
        <v>45854</v>
      </c>
      <c r="M12" t="s">
        <v>48</v>
      </c>
    </row>
    <row r="13" spans="1:13" x14ac:dyDescent="0.35">
      <c r="A13" s="11">
        <v>10</v>
      </c>
      <c r="B13" s="12"/>
      <c r="C13" s="14" t="s">
        <v>76</v>
      </c>
      <c r="D13" s="14" t="s">
        <v>26</v>
      </c>
      <c r="E13" s="16"/>
      <c r="F13" s="16">
        <v>45837</v>
      </c>
      <c r="G13" s="17" t="s">
        <v>14</v>
      </c>
      <c r="H13" s="17"/>
      <c r="I13" s="19">
        <v>16200</v>
      </c>
      <c r="J13" s="17" t="s">
        <v>21</v>
      </c>
      <c r="K13" s="20" t="s">
        <v>22</v>
      </c>
      <c r="L13" s="18">
        <v>45854</v>
      </c>
      <c r="M13" t="s">
        <v>48</v>
      </c>
    </row>
    <row r="14" spans="1:13" x14ac:dyDescent="0.35">
      <c r="A14" s="11">
        <v>11</v>
      </c>
      <c r="B14" s="12">
        <v>45838</v>
      </c>
      <c r="C14" s="14" t="s">
        <v>78</v>
      </c>
      <c r="D14" s="14" t="s">
        <v>18</v>
      </c>
      <c r="E14" s="16"/>
      <c r="F14" s="16">
        <v>45838</v>
      </c>
      <c r="G14" s="17" t="s">
        <v>14</v>
      </c>
      <c r="H14" s="17" t="s">
        <v>77</v>
      </c>
      <c r="I14" s="19">
        <v>684790</v>
      </c>
      <c r="J14" s="17" t="s">
        <v>25</v>
      </c>
      <c r="K14" s="20" t="s">
        <v>22</v>
      </c>
      <c r="L14" s="18">
        <v>45122</v>
      </c>
      <c r="M14" t="s">
        <v>130</v>
      </c>
    </row>
    <row r="15" spans="1:13" x14ac:dyDescent="0.35">
      <c r="A15" s="11">
        <v>12</v>
      </c>
      <c r="B15" s="12">
        <v>45838</v>
      </c>
      <c r="C15" s="14" t="s">
        <v>82</v>
      </c>
      <c r="D15" s="14" t="s">
        <v>18</v>
      </c>
      <c r="E15" s="16"/>
      <c r="F15" s="16">
        <v>45838</v>
      </c>
      <c r="G15" s="17" t="s">
        <v>14</v>
      </c>
      <c r="H15" s="17"/>
      <c r="I15" s="19">
        <v>15000</v>
      </c>
      <c r="J15" s="17" t="s">
        <v>25</v>
      </c>
      <c r="K15" s="20" t="s">
        <v>22</v>
      </c>
      <c r="L15" s="18">
        <v>45122</v>
      </c>
      <c r="M15" t="s">
        <v>81</v>
      </c>
    </row>
    <row r="16" spans="1:13" x14ac:dyDescent="0.35">
      <c r="A16" s="11">
        <v>13</v>
      </c>
      <c r="B16" s="12">
        <v>45840</v>
      </c>
      <c r="C16" s="14" t="s">
        <v>79</v>
      </c>
      <c r="D16" s="14" t="s">
        <v>80</v>
      </c>
      <c r="E16" s="16"/>
      <c r="F16" s="12">
        <v>45840</v>
      </c>
      <c r="G16" s="17" t="s">
        <v>14</v>
      </c>
      <c r="H16" s="17">
        <v>4741</v>
      </c>
      <c r="I16" s="19">
        <v>2444</v>
      </c>
      <c r="J16" s="17" t="s">
        <v>21</v>
      </c>
      <c r="K16" s="20" t="s">
        <v>22</v>
      </c>
      <c r="L16" s="18">
        <v>45840</v>
      </c>
    </row>
    <row r="17" spans="1:14" x14ac:dyDescent="0.35">
      <c r="A17" s="11">
        <v>14</v>
      </c>
      <c r="B17" s="12">
        <v>45841</v>
      </c>
      <c r="C17" s="14" t="s">
        <v>75</v>
      </c>
      <c r="D17" s="14" t="s">
        <v>30</v>
      </c>
      <c r="E17" s="16"/>
      <c r="F17" s="16">
        <v>45841</v>
      </c>
      <c r="G17" s="17" t="s">
        <v>14</v>
      </c>
      <c r="H17" s="17"/>
      <c r="I17" s="19">
        <v>31500</v>
      </c>
      <c r="J17" s="17" t="s">
        <v>21</v>
      </c>
      <c r="K17" s="20" t="s">
        <v>22</v>
      </c>
      <c r="L17" s="18">
        <v>45114</v>
      </c>
    </row>
    <row r="18" spans="1:14" x14ac:dyDescent="0.35">
      <c r="A18" s="11">
        <v>15</v>
      </c>
      <c r="B18" s="16">
        <v>45793</v>
      </c>
      <c r="C18" s="14" t="s">
        <v>83</v>
      </c>
      <c r="D18" s="14" t="s">
        <v>84</v>
      </c>
      <c r="E18" s="26" t="s">
        <v>87</v>
      </c>
      <c r="F18" s="16">
        <v>45793</v>
      </c>
      <c r="G18" s="17" t="s">
        <v>19</v>
      </c>
      <c r="H18" s="17"/>
      <c r="I18" s="19">
        <v>23356.799999999999</v>
      </c>
      <c r="J18" s="17" t="s">
        <v>21</v>
      </c>
      <c r="K18" s="20" t="s">
        <v>22</v>
      </c>
      <c r="L18" s="18">
        <v>45854</v>
      </c>
      <c r="M18" t="s">
        <v>48</v>
      </c>
    </row>
    <row r="19" spans="1:14" x14ac:dyDescent="0.35">
      <c r="A19" s="11">
        <v>16</v>
      </c>
      <c r="B19" s="16">
        <v>45812</v>
      </c>
      <c r="C19" s="14" t="s">
        <v>88</v>
      </c>
      <c r="D19" s="14" t="s">
        <v>84</v>
      </c>
      <c r="E19" s="26" t="s">
        <v>86</v>
      </c>
      <c r="F19" s="16">
        <v>45812</v>
      </c>
      <c r="G19" s="17" t="s">
        <v>19</v>
      </c>
      <c r="H19" s="17"/>
      <c r="I19" s="19">
        <v>18154.259999999998</v>
      </c>
      <c r="J19" s="17" t="s">
        <v>21</v>
      </c>
      <c r="K19" s="20" t="s">
        <v>22</v>
      </c>
      <c r="L19" s="18">
        <v>45854</v>
      </c>
      <c r="M19" t="s">
        <v>48</v>
      </c>
    </row>
    <row r="20" spans="1:14" x14ac:dyDescent="0.35">
      <c r="A20" s="11">
        <v>17</v>
      </c>
      <c r="B20" s="16">
        <v>45808</v>
      </c>
      <c r="C20" s="14" t="s">
        <v>88</v>
      </c>
      <c r="D20" s="14" t="s">
        <v>84</v>
      </c>
      <c r="E20" s="26" t="s">
        <v>85</v>
      </c>
      <c r="F20" s="16">
        <v>45808</v>
      </c>
      <c r="G20" s="17" t="s">
        <v>14</v>
      </c>
      <c r="H20" s="17"/>
      <c r="I20" s="19">
        <v>18154.259999999998</v>
      </c>
      <c r="J20" s="17" t="s">
        <v>21</v>
      </c>
      <c r="K20" s="20" t="s">
        <v>22</v>
      </c>
      <c r="L20" s="18">
        <v>45854</v>
      </c>
      <c r="M20" t="s">
        <v>48</v>
      </c>
    </row>
    <row r="21" spans="1:14" x14ac:dyDescent="0.35">
      <c r="A21" s="11">
        <v>18</v>
      </c>
      <c r="B21" s="12"/>
      <c r="C21" s="14" t="s">
        <v>89</v>
      </c>
      <c r="D21" s="14" t="s">
        <v>18</v>
      </c>
      <c r="E21" s="16"/>
      <c r="F21" s="16">
        <v>45842</v>
      </c>
      <c r="G21" s="17" t="s">
        <v>14</v>
      </c>
      <c r="H21" s="17" t="s">
        <v>90</v>
      </c>
      <c r="I21" s="19">
        <v>17750</v>
      </c>
      <c r="J21" s="17" t="s">
        <v>21</v>
      </c>
      <c r="K21" s="20" t="s">
        <v>22</v>
      </c>
      <c r="L21" s="18">
        <v>45122</v>
      </c>
      <c r="M21" t="s">
        <v>101</v>
      </c>
    </row>
    <row r="22" spans="1:14" x14ac:dyDescent="0.35">
      <c r="A22" s="11">
        <v>20</v>
      </c>
      <c r="B22" s="12"/>
      <c r="C22" s="14" t="s">
        <v>109</v>
      </c>
      <c r="D22" s="14" t="s">
        <v>40</v>
      </c>
      <c r="E22" s="16"/>
      <c r="F22" s="16">
        <v>45846</v>
      </c>
      <c r="G22" s="17" t="s">
        <v>32</v>
      </c>
      <c r="H22" s="17"/>
      <c r="I22" s="19">
        <v>31341</v>
      </c>
      <c r="J22" s="17" t="s">
        <v>21</v>
      </c>
      <c r="K22" s="20" t="s">
        <v>22</v>
      </c>
      <c r="L22" s="18">
        <v>45853</v>
      </c>
      <c r="M22" t="s">
        <v>48</v>
      </c>
    </row>
    <row r="23" spans="1:14" x14ac:dyDescent="0.35">
      <c r="A23" s="11">
        <v>21</v>
      </c>
      <c r="B23" s="30">
        <v>45842</v>
      </c>
      <c r="C23" s="31" t="s">
        <v>38</v>
      </c>
      <c r="D23" s="31" t="s">
        <v>39</v>
      </c>
      <c r="E23" s="32"/>
      <c r="F23" s="32">
        <v>45849</v>
      </c>
      <c r="G23" s="33" t="s">
        <v>19</v>
      </c>
      <c r="H23" s="33">
        <v>185</v>
      </c>
      <c r="I23" s="34">
        <v>33500</v>
      </c>
      <c r="J23" s="33" t="s">
        <v>21</v>
      </c>
      <c r="K23" s="35" t="s">
        <v>22</v>
      </c>
      <c r="L23" s="18">
        <v>45857</v>
      </c>
      <c r="M23" s="36" t="s">
        <v>101</v>
      </c>
    </row>
    <row r="24" spans="1:14" x14ac:dyDescent="0.35">
      <c r="A24" s="11">
        <v>22</v>
      </c>
      <c r="B24" s="12">
        <v>45841</v>
      </c>
      <c r="C24" s="14" t="s">
        <v>93</v>
      </c>
      <c r="D24" s="14" t="s">
        <v>92</v>
      </c>
      <c r="E24" s="16"/>
      <c r="F24" s="16"/>
      <c r="G24" s="17" t="s">
        <v>32</v>
      </c>
      <c r="H24" s="25" t="s">
        <v>91</v>
      </c>
      <c r="I24" s="19">
        <v>9591</v>
      </c>
      <c r="J24" s="17" t="s">
        <v>21</v>
      </c>
      <c r="K24" s="20" t="s">
        <v>22</v>
      </c>
      <c r="L24" s="18">
        <v>45841</v>
      </c>
      <c r="M24" t="s">
        <v>48</v>
      </c>
    </row>
    <row r="25" spans="1:14" x14ac:dyDescent="0.35">
      <c r="A25" s="11">
        <v>23</v>
      </c>
      <c r="B25" s="12">
        <v>45846</v>
      </c>
      <c r="C25" s="14" t="s">
        <v>75</v>
      </c>
      <c r="D25" s="14" t="s">
        <v>30</v>
      </c>
      <c r="E25" s="16"/>
      <c r="F25" s="16">
        <v>45847</v>
      </c>
      <c r="G25" s="17" t="s">
        <v>14</v>
      </c>
      <c r="H25" s="17"/>
      <c r="I25" s="19">
        <v>31500</v>
      </c>
      <c r="J25" s="17" t="s">
        <v>21</v>
      </c>
      <c r="K25" s="20" t="s">
        <v>22</v>
      </c>
      <c r="L25" s="18">
        <v>45854</v>
      </c>
      <c r="M25" t="s">
        <v>48</v>
      </c>
    </row>
    <row r="26" spans="1:14" x14ac:dyDescent="0.35">
      <c r="A26" s="11">
        <v>24</v>
      </c>
      <c r="B26" s="12"/>
      <c r="C26" s="14" t="s">
        <v>62</v>
      </c>
      <c r="D26" s="14" t="s">
        <v>63</v>
      </c>
      <c r="E26" s="16"/>
      <c r="F26" s="16"/>
      <c r="G26" s="17" t="s">
        <v>19</v>
      </c>
      <c r="H26" s="17"/>
      <c r="I26" s="19">
        <v>25000</v>
      </c>
      <c r="J26" s="17" t="s">
        <v>15</v>
      </c>
      <c r="K26" s="20" t="s">
        <v>22</v>
      </c>
      <c r="L26" s="18">
        <v>45115</v>
      </c>
      <c r="M26" t="s">
        <v>48</v>
      </c>
    </row>
    <row r="27" spans="1:14" x14ac:dyDescent="0.35">
      <c r="A27" s="11">
        <v>25</v>
      </c>
      <c r="B27" s="12"/>
      <c r="C27" s="14" t="s">
        <v>95</v>
      </c>
      <c r="D27" s="14" t="s">
        <v>94</v>
      </c>
      <c r="E27" s="16"/>
      <c r="F27" s="16">
        <v>45813</v>
      </c>
      <c r="G27" s="17" t="s">
        <v>52</v>
      </c>
      <c r="H27" s="17"/>
      <c r="I27" s="19">
        <v>19000</v>
      </c>
      <c r="J27" s="17" t="s">
        <v>15</v>
      </c>
      <c r="K27" s="20" t="s">
        <v>22</v>
      </c>
      <c r="L27" s="18">
        <v>45855</v>
      </c>
      <c r="M27" t="s">
        <v>48</v>
      </c>
    </row>
    <row r="28" spans="1:14" x14ac:dyDescent="0.35">
      <c r="A28" s="11">
        <v>26</v>
      </c>
      <c r="B28" s="18">
        <v>45847</v>
      </c>
      <c r="C28" s="14" t="s">
        <v>96</v>
      </c>
      <c r="D28" s="14" t="s">
        <v>97</v>
      </c>
      <c r="E28" s="16"/>
      <c r="F28" s="18">
        <v>45847</v>
      </c>
      <c r="G28" s="17" t="s">
        <v>14</v>
      </c>
      <c r="H28" s="17"/>
      <c r="I28" s="19">
        <v>1292</v>
      </c>
      <c r="J28" s="17" t="s">
        <v>21</v>
      </c>
      <c r="K28" s="20" t="s">
        <v>22</v>
      </c>
      <c r="L28" s="18">
        <v>45847</v>
      </c>
      <c r="M28" t="s">
        <v>101</v>
      </c>
      <c r="N28" t="s">
        <v>115</v>
      </c>
    </row>
    <row r="29" spans="1:14" x14ac:dyDescent="0.35">
      <c r="A29" s="11">
        <v>27</v>
      </c>
      <c r="B29" s="18">
        <v>45847</v>
      </c>
      <c r="C29" s="14" t="s">
        <v>99</v>
      </c>
      <c r="D29" s="14" t="s">
        <v>98</v>
      </c>
      <c r="E29" s="29"/>
      <c r="F29" s="16"/>
      <c r="G29" s="17" t="s">
        <v>19</v>
      </c>
      <c r="H29" s="17"/>
      <c r="I29" s="19">
        <v>27914</v>
      </c>
      <c r="J29" s="17" t="s">
        <v>21</v>
      </c>
      <c r="K29" s="20" t="s">
        <v>22</v>
      </c>
      <c r="L29" s="18">
        <v>45847</v>
      </c>
      <c r="M29" t="s">
        <v>48</v>
      </c>
    </row>
    <row r="30" spans="1:14" x14ac:dyDescent="0.35">
      <c r="A30" s="11">
        <v>28</v>
      </c>
      <c r="B30" s="12">
        <v>45849</v>
      </c>
      <c r="C30" s="14" t="s">
        <v>100</v>
      </c>
      <c r="D30" s="14" t="s">
        <v>97</v>
      </c>
      <c r="E30" s="29" t="s">
        <v>105</v>
      </c>
      <c r="F30" s="16"/>
      <c r="G30" s="17"/>
      <c r="H30" s="17"/>
      <c r="I30" s="19">
        <v>6694</v>
      </c>
      <c r="J30" s="17" t="s">
        <v>21</v>
      </c>
      <c r="K30" s="20" t="s">
        <v>22</v>
      </c>
      <c r="L30" s="18">
        <v>45853</v>
      </c>
      <c r="M30" t="s">
        <v>101</v>
      </c>
    </row>
    <row r="31" spans="1:14" x14ac:dyDescent="0.35">
      <c r="A31" s="11">
        <v>29</v>
      </c>
      <c r="B31" s="12">
        <v>45849</v>
      </c>
      <c r="C31" s="14" t="s">
        <v>126</v>
      </c>
      <c r="D31" s="14" t="s">
        <v>124</v>
      </c>
      <c r="E31" s="16"/>
      <c r="F31" s="12">
        <v>45849</v>
      </c>
      <c r="G31" s="17" t="s">
        <v>32</v>
      </c>
      <c r="H31" s="17" t="s">
        <v>127</v>
      </c>
      <c r="I31" s="19">
        <v>86440</v>
      </c>
      <c r="J31" s="17" t="s">
        <v>25</v>
      </c>
      <c r="K31" s="20" t="s">
        <v>22</v>
      </c>
      <c r="L31" s="12">
        <v>45849</v>
      </c>
      <c r="M31" t="s">
        <v>128</v>
      </c>
    </row>
    <row r="32" spans="1:14" x14ac:dyDescent="0.35">
      <c r="A32" s="11">
        <v>30</v>
      </c>
      <c r="B32" s="12">
        <v>45849</v>
      </c>
      <c r="C32" s="14" t="s">
        <v>126</v>
      </c>
      <c r="D32" s="14" t="s">
        <v>124</v>
      </c>
      <c r="E32" s="16"/>
      <c r="F32" s="12">
        <v>45849</v>
      </c>
      <c r="G32" s="17" t="s">
        <v>32</v>
      </c>
      <c r="H32" s="17" t="s">
        <v>129</v>
      </c>
      <c r="I32" s="19">
        <v>17894</v>
      </c>
      <c r="J32" s="17" t="s">
        <v>25</v>
      </c>
      <c r="K32" s="20" t="s">
        <v>22</v>
      </c>
      <c r="L32" s="12">
        <v>45849</v>
      </c>
      <c r="M32" t="s">
        <v>128</v>
      </c>
    </row>
    <row r="33" spans="1:14" x14ac:dyDescent="0.35">
      <c r="A33" s="11">
        <v>31</v>
      </c>
      <c r="B33" s="12">
        <v>45848</v>
      </c>
      <c r="C33" s="14" t="s">
        <v>75</v>
      </c>
      <c r="D33" s="14" t="s">
        <v>30</v>
      </c>
      <c r="E33" s="16"/>
      <c r="F33" s="12">
        <v>45849</v>
      </c>
      <c r="G33" s="17" t="s">
        <v>14</v>
      </c>
      <c r="H33" s="17"/>
      <c r="I33" s="19">
        <v>31500</v>
      </c>
      <c r="J33" s="17" t="s">
        <v>21</v>
      </c>
      <c r="K33" s="20" t="s">
        <v>22</v>
      </c>
      <c r="L33" s="18">
        <v>45854</v>
      </c>
      <c r="M33" t="s">
        <v>48</v>
      </c>
    </row>
    <row r="34" spans="1:14" x14ac:dyDescent="0.35">
      <c r="A34" s="11">
        <v>32</v>
      </c>
      <c r="B34" s="12"/>
      <c r="C34" s="14" t="s">
        <v>102</v>
      </c>
      <c r="D34" s="14" t="s">
        <v>40</v>
      </c>
      <c r="E34" s="16"/>
      <c r="F34" s="16">
        <v>45850</v>
      </c>
      <c r="G34" s="17" t="s">
        <v>19</v>
      </c>
      <c r="H34" s="17"/>
      <c r="I34" s="19">
        <v>44484</v>
      </c>
      <c r="J34" s="17" t="s">
        <v>21</v>
      </c>
      <c r="K34" s="20" t="s">
        <v>22</v>
      </c>
      <c r="L34" s="18">
        <v>45853</v>
      </c>
      <c r="M34" t="s">
        <v>48</v>
      </c>
    </row>
    <row r="35" spans="1:14" x14ac:dyDescent="0.35">
      <c r="A35" s="11">
        <v>33</v>
      </c>
      <c r="B35" s="12"/>
      <c r="C35" s="14" t="s">
        <v>103</v>
      </c>
      <c r="D35" s="14" t="s">
        <v>104</v>
      </c>
      <c r="E35" s="16"/>
      <c r="F35" s="16"/>
      <c r="G35" s="17" t="s">
        <v>32</v>
      </c>
      <c r="H35" s="17"/>
      <c r="I35" s="28">
        <v>10000</v>
      </c>
      <c r="J35" s="17" t="s">
        <v>21</v>
      </c>
      <c r="K35" s="20" t="s">
        <v>22</v>
      </c>
      <c r="L35" s="18">
        <v>45847</v>
      </c>
      <c r="M35" t="s">
        <v>48</v>
      </c>
    </row>
    <row r="36" spans="1:14" x14ac:dyDescent="0.35">
      <c r="A36" s="11"/>
      <c r="B36" s="12"/>
      <c r="C36" s="14" t="s">
        <v>137</v>
      </c>
      <c r="D36" s="14"/>
      <c r="E36" s="16"/>
      <c r="F36" s="16"/>
      <c r="G36" s="17" t="s">
        <v>107</v>
      </c>
      <c r="H36" s="17"/>
      <c r="I36" s="19">
        <v>7000</v>
      </c>
      <c r="J36" s="17" t="s">
        <v>25</v>
      </c>
      <c r="K36" s="20" t="s">
        <v>22</v>
      </c>
      <c r="L36" s="18">
        <v>45853</v>
      </c>
    </row>
    <row r="37" spans="1:14" x14ac:dyDescent="0.35">
      <c r="A37" s="11"/>
      <c r="B37" s="12"/>
      <c r="C37" s="14" t="s">
        <v>135</v>
      </c>
      <c r="D37" s="14"/>
      <c r="E37" s="16"/>
      <c r="F37" s="16"/>
      <c r="G37" s="17" t="s">
        <v>107</v>
      </c>
      <c r="H37" s="17"/>
      <c r="I37" s="19">
        <v>200000</v>
      </c>
      <c r="J37" s="17" t="s">
        <v>25</v>
      </c>
      <c r="K37" s="20" t="s">
        <v>22</v>
      </c>
      <c r="L37" s="18">
        <v>45853</v>
      </c>
      <c r="M37" t="s">
        <v>134</v>
      </c>
    </row>
    <row r="38" spans="1:14" x14ac:dyDescent="0.35">
      <c r="A38" s="11">
        <v>34</v>
      </c>
      <c r="B38" s="12"/>
      <c r="C38" s="14" t="s">
        <v>35</v>
      </c>
      <c r="D38" s="14" t="s">
        <v>37</v>
      </c>
      <c r="E38" s="16"/>
      <c r="F38" s="16"/>
      <c r="G38" s="17" t="s">
        <v>14</v>
      </c>
      <c r="H38" s="17"/>
      <c r="I38" s="19">
        <v>300000</v>
      </c>
      <c r="J38" s="17" t="s">
        <v>25</v>
      </c>
      <c r="K38" s="20" t="s">
        <v>22</v>
      </c>
      <c r="L38" s="18">
        <v>45853</v>
      </c>
      <c r="M38" t="s">
        <v>48</v>
      </c>
    </row>
    <row r="39" spans="1:14" x14ac:dyDescent="0.35">
      <c r="A39" s="11">
        <v>35</v>
      </c>
      <c r="B39" s="12"/>
      <c r="C39" s="14" t="s">
        <v>136</v>
      </c>
      <c r="D39" s="14"/>
      <c r="E39" s="16"/>
      <c r="F39" s="16"/>
      <c r="G39" s="17"/>
      <c r="H39" s="17"/>
      <c r="I39" s="19">
        <v>21000</v>
      </c>
      <c r="J39" s="17" t="s">
        <v>15</v>
      </c>
      <c r="K39" s="20" t="s">
        <v>22</v>
      </c>
      <c r="L39" s="18">
        <v>45853</v>
      </c>
      <c r="M39" t="s">
        <v>48</v>
      </c>
      <c r="N39" t="s">
        <v>64</v>
      </c>
    </row>
    <row r="40" spans="1:14" x14ac:dyDescent="0.35">
      <c r="A40" s="11">
        <v>36</v>
      </c>
      <c r="B40" s="12"/>
      <c r="C40" s="14" t="s">
        <v>15</v>
      </c>
      <c r="D40" s="14" t="s">
        <v>106</v>
      </c>
      <c r="E40" s="16"/>
      <c r="F40" s="16"/>
      <c r="G40" s="17" t="s">
        <v>107</v>
      </c>
      <c r="H40" s="17"/>
      <c r="I40" s="19">
        <v>50000</v>
      </c>
      <c r="J40" s="17"/>
      <c r="K40" s="20" t="s">
        <v>22</v>
      </c>
      <c r="L40" s="18">
        <v>45853</v>
      </c>
      <c r="M40" t="s">
        <v>48</v>
      </c>
      <c r="N40" t="s">
        <v>108</v>
      </c>
    </row>
    <row r="41" spans="1:14" x14ac:dyDescent="0.35">
      <c r="A41" s="11">
        <v>37</v>
      </c>
      <c r="B41" s="12"/>
      <c r="C41" s="14" t="s">
        <v>110</v>
      </c>
      <c r="D41" s="14" t="s">
        <v>106</v>
      </c>
      <c r="E41" s="16"/>
      <c r="F41" s="16"/>
      <c r="G41" s="17" t="s">
        <v>107</v>
      </c>
      <c r="H41" s="17"/>
      <c r="I41" s="19">
        <v>60000</v>
      </c>
      <c r="J41" s="17"/>
      <c r="K41" s="20" t="s">
        <v>22</v>
      </c>
      <c r="L41" s="18">
        <v>45853</v>
      </c>
      <c r="M41" t="s">
        <v>48</v>
      </c>
    </row>
    <row r="42" spans="1:14" x14ac:dyDescent="0.35">
      <c r="A42" s="11">
        <v>38</v>
      </c>
      <c r="B42" s="12"/>
      <c r="C42" s="14" t="s">
        <v>111</v>
      </c>
      <c r="D42" s="14" t="s">
        <v>106</v>
      </c>
      <c r="E42" s="16"/>
      <c r="F42" s="16"/>
      <c r="G42" s="17" t="s">
        <v>107</v>
      </c>
      <c r="H42" s="17"/>
      <c r="I42" s="19">
        <v>28000</v>
      </c>
      <c r="J42" s="17"/>
      <c r="K42" s="20" t="s">
        <v>22</v>
      </c>
      <c r="L42" s="18">
        <v>45853</v>
      </c>
      <c r="M42" t="s">
        <v>48</v>
      </c>
    </row>
    <row r="43" spans="1:14" x14ac:dyDescent="0.35">
      <c r="A43" s="11">
        <v>39</v>
      </c>
      <c r="B43" s="12"/>
      <c r="C43" s="14" t="s">
        <v>113</v>
      </c>
      <c r="D43" s="14" t="s">
        <v>26</v>
      </c>
      <c r="E43" s="16"/>
      <c r="F43" s="16">
        <v>45842</v>
      </c>
      <c r="G43" s="17" t="s">
        <v>14</v>
      </c>
      <c r="H43" s="17"/>
      <c r="I43" s="19">
        <v>17000</v>
      </c>
      <c r="J43" s="17" t="s">
        <v>21</v>
      </c>
      <c r="K43" s="20" t="s">
        <v>22</v>
      </c>
      <c r="L43" s="18">
        <v>45854</v>
      </c>
      <c r="M43" t="s">
        <v>48</v>
      </c>
    </row>
    <row r="44" spans="1:14" x14ac:dyDescent="0.35">
      <c r="A44" s="11">
        <v>40</v>
      </c>
      <c r="B44" s="12"/>
      <c r="C44" s="14" t="s">
        <v>114</v>
      </c>
      <c r="D44" s="14"/>
      <c r="E44" s="16"/>
      <c r="F44" s="16"/>
      <c r="G44" s="17" t="s">
        <v>107</v>
      </c>
      <c r="H44" s="17"/>
      <c r="I44" s="19">
        <v>20000</v>
      </c>
      <c r="J44" s="17" t="s">
        <v>25</v>
      </c>
      <c r="K44" s="20" t="s">
        <v>22</v>
      </c>
      <c r="L44" s="18">
        <v>45853</v>
      </c>
      <c r="M44" t="s">
        <v>48</v>
      </c>
    </row>
    <row r="45" spans="1:14" x14ac:dyDescent="0.35">
      <c r="A45" s="11">
        <v>41</v>
      </c>
      <c r="B45" s="12"/>
      <c r="C45" s="14" t="s">
        <v>62</v>
      </c>
      <c r="D45" s="14" t="s">
        <v>63</v>
      </c>
      <c r="E45" s="16"/>
      <c r="F45" s="16"/>
      <c r="G45" s="17" t="s">
        <v>14</v>
      </c>
      <c r="H45" s="17"/>
      <c r="I45" s="19">
        <v>25000</v>
      </c>
      <c r="J45" s="17" t="s">
        <v>15</v>
      </c>
      <c r="K45" s="20" t="s">
        <v>22</v>
      </c>
      <c r="L45" s="18">
        <v>45857</v>
      </c>
      <c r="M45" t="s">
        <v>48</v>
      </c>
    </row>
    <row r="46" spans="1:14" x14ac:dyDescent="0.35">
      <c r="A46" s="11">
        <v>42</v>
      </c>
      <c r="B46" s="12"/>
      <c r="C46" s="14" t="s">
        <v>62</v>
      </c>
      <c r="D46" s="14" t="s">
        <v>63</v>
      </c>
      <c r="E46" s="16"/>
      <c r="F46" s="16"/>
      <c r="G46" s="17" t="s">
        <v>19</v>
      </c>
      <c r="H46" s="17"/>
      <c r="I46" s="19">
        <v>15000</v>
      </c>
      <c r="J46" s="17" t="s">
        <v>15</v>
      </c>
      <c r="K46" s="20" t="s">
        <v>22</v>
      </c>
      <c r="L46" s="18">
        <v>45857</v>
      </c>
      <c r="M46" t="s">
        <v>48</v>
      </c>
    </row>
    <row r="47" spans="1:14" x14ac:dyDescent="0.35">
      <c r="A47" s="11">
        <v>43</v>
      </c>
      <c r="B47" s="16">
        <v>45859</v>
      </c>
      <c r="C47" s="14" t="s">
        <v>117</v>
      </c>
      <c r="D47" s="14" t="s">
        <v>116</v>
      </c>
      <c r="E47" s="16"/>
      <c r="F47" s="16">
        <v>45859</v>
      </c>
      <c r="G47" s="17" t="s">
        <v>32</v>
      </c>
      <c r="H47" s="17"/>
      <c r="I47" s="19">
        <v>117000</v>
      </c>
      <c r="J47" s="17" t="s">
        <v>21</v>
      </c>
      <c r="K47" s="20" t="s">
        <v>22</v>
      </c>
      <c r="L47" s="18">
        <v>45860</v>
      </c>
      <c r="M47" t="s">
        <v>48</v>
      </c>
    </row>
    <row r="48" spans="1:14" x14ac:dyDescent="0.35">
      <c r="A48" s="11">
        <v>44</v>
      </c>
      <c r="B48" s="16"/>
      <c r="C48" s="14"/>
      <c r="D48" s="14"/>
      <c r="E48" s="16"/>
      <c r="F48" s="16"/>
      <c r="G48" s="17"/>
      <c r="H48" s="17"/>
      <c r="I48" s="19"/>
      <c r="J48" s="17"/>
      <c r="K48" s="20"/>
      <c r="L48" s="18"/>
      <c r="M48" s="19"/>
    </row>
    <row r="49" spans="1:13" x14ac:dyDescent="0.35">
      <c r="A49" s="11">
        <v>45</v>
      </c>
      <c r="B49" s="16">
        <v>45859</v>
      </c>
      <c r="C49" s="14" t="s">
        <v>119</v>
      </c>
      <c r="D49" s="31" t="s">
        <v>39</v>
      </c>
      <c r="E49" s="16"/>
      <c r="F49" s="16">
        <v>45859</v>
      </c>
      <c r="G49" s="17" t="s">
        <v>14</v>
      </c>
      <c r="H49" s="17">
        <v>212</v>
      </c>
      <c r="I49" s="19">
        <v>33500</v>
      </c>
      <c r="J49" s="17" t="s">
        <v>21</v>
      </c>
      <c r="K49" s="20" t="s">
        <v>22</v>
      </c>
      <c r="L49" s="18">
        <f>B49+7</f>
        <v>45866</v>
      </c>
      <c r="M49" s="19"/>
    </row>
    <row r="50" spans="1:13" x14ac:dyDescent="0.35">
      <c r="A50" s="11">
        <v>46</v>
      </c>
      <c r="B50" s="16"/>
      <c r="C50" s="14"/>
      <c r="D50" s="14"/>
      <c r="E50" s="16"/>
      <c r="F50" s="16"/>
      <c r="G50" s="17"/>
      <c r="H50" s="17"/>
      <c r="I50" s="19"/>
      <c r="J50" s="17"/>
      <c r="K50" s="20"/>
      <c r="L50" s="18"/>
    </row>
    <row r="51" spans="1:13" x14ac:dyDescent="0.35">
      <c r="A51" s="11">
        <v>48</v>
      </c>
      <c r="B51" s="37"/>
      <c r="C51" s="14" t="s">
        <v>131</v>
      </c>
      <c r="D51" s="14" t="s">
        <v>116</v>
      </c>
      <c r="E51" s="16"/>
      <c r="F51" s="16"/>
      <c r="G51" s="17" t="s">
        <v>32</v>
      </c>
      <c r="H51" s="17"/>
      <c r="I51" s="19">
        <v>75000</v>
      </c>
      <c r="J51" s="17" t="s">
        <v>15</v>
      </c>
      <c r="K51" s="20" t="s">
        <v>22</v>
      </c>
      <c r="L51" s="18">
        <v>45864</v>
      </c>
      <c r="M51" t="s">
        <v>142</v>
      </c>
    </row>
    <row r="52" spans="1:13" x14ac:dyDescent="0.35">
      <c r="A52" s="11">
        <v>49</v>
      </c>
      <c r="B52" s="37"/>
      <c r="C52" s="14" t="s">
        <v>132</v>
      </c>
      <c r="D52" s="14" t="s">
        <v>116</v>
      </c>
      <c r="E52" s="16"/>
      <c r="F52" s="16"/>
      <c r="G52" s="17" t="s">
        <v>32</v>
      </c>
      <c r="H52" s="17"/>
      <c r="I52" s="19">
        <v>5000</v>
      </c>
      <c r="J52" s="17" t="s">
        <v>15</v>
      </c>
      <c r="K52" s="20" t="s">
        <v>22</v>
      </c>
      <c r="L52" s="18">
        <v>45864</v>
      </c>
      <c r="M52" t="s">
        <v>142</v>
      </c>
    </row>
    <row r="53" spans="1:13" x14ac:dyDescent="0.35">
      <c r="A53" s="11">
        <v>50</v>
      </c>
      <c r="B53" s="37"/>
      <c r="C53" s="14" t="s">
        <v>133</v>
      </c>
      <c r="D53" s="31"/>
      <c r="E53" s="16"/>
      <c r="F53" s="16"/>
      <c r="G53" s="17" t="s">
        <v>32</v>
      </c>
      <c r="H53" s="17"/>
      <c r="I53" s="19">
        <v>4865</v>
      </c>
      <c r="J53" s="17" t="s">
        <v>15</v>
      </c>
      <c r="K53" s="20" t="s">
        <v>22</v>
      </c>
      <c r="L53" s="18">
        <v>45864</v>
      </c>
      <c r="M53" t="s">
        <v>142</v>
      </c>
    </row>
    <row r="54" spans="1:13" x14ac:dyDescent="0.35">
      <c r="A54" s="11">
        <v>51</v>
      </c>
      <c r="B54" s="16"/>
      <c r="C54" s="14" t="s">
        <v>35</v>
      </c>
      <c r="D54" s="14" t="s">
        <v>37</v>
      </c>
      <c r="E54" s="16"/>
      <c r="F54" s="16"/>
      <c r="G54" s="17" t="s">
        <v>14</v>
      </c>
      <c r="H54" s="17"/>
      <c r="I54" s="19">
        <v>500000</v>
      </c>
      <c r="J54" s="17" t="s">
        <v>108</v>
      </c>
      <c r="K54" s="20" t="s">
        <v>22</v>
      </c>
      <c r="L54" s="18">
        <v>45868</v>
      </c>
    </row>
    <row r="55" spans="1:13" x14ac:dyDescent="0.35">
      <c r="A55" s="11">
        <v>52</v>
      </c>
      <c r="B55" s="16"/>
      <c r="C55" s="14"/>
      <c r="D55" s="14"/>
      <c r="E55" s="16"/>
      <c r="F55" s="16"/>
      <c r="G55" s="17"/>
      <c r="H55" s="17"/>
      <c r="I55" s="19"/>
      <c r="J55" s="17"/>
      <c r="K55" s="20"/>
      <c r="L55" s="18"/>
    </row>
    <row r="56" spans="1:13" x14ac:dyDescent="0.35">
      <c r="A56" s="11">
        <v>53</v>
      </c>
      <c r="B56" s="37"/>
      <c r="C56" s="14"/>
      <c r="D56" s="31"/>
      <c r="E56" s="16"/>
      <c r="F56" s="16"/>
      <c r="G56" s="17"/>
      <c r="H56" s="17"/>
      <c r="I56" s="19"/>
      <c r="J56" s="17"/>
      <c r="K56" s="20"/>
      <c r="L56" s="18"/>
    </row>
    <row r="57" spans="1:13" x14ac:dyDescent="0.35">
      <c r="A57" s="11">
        <v>54</v>
      </c>
      <c r="B57" s="12"/>
      <c r="C57" s="14"/>
      <c r="D57" s="14"/>
      <c r="E57" s="16"/>
      <c r="F57" s="16"/>
      <c r="G57" s="17"/>
      <c r="H57" s="17"/>
      <c r="I57" s="19"/>
      <c r="J57" s="17"/>
      <c r="K57" s="20"/>
      <c r="L57" s="18"/>
    </row>
    <row r="58" spans="1:13" x14ac:dyDescent="0.35">
      <c r="A58" s="11">
        <v>55</v>
      </c>
      <c r="B58" s="12"/>
      <c r="C58" s="14"/>
      <c r="D58" s="14"/>
      <c r="E58" s="16"/>
      <c r="F58" s="16"/>
      <c r="G58" s="17"/>
      <c r="H58" s="17"/>
      <c r="I58" s="19"/>
      <c r="J58" s="17"/>
      <c r="K58" s="20"/>
      <c r="L58" s="18"/>
    </row>
    <row r="59" spans="1:13" x14ac:dyDescent="0.35">
      <c r="A59" s="11">
        <v>56</v>
      </c>
      <c r="B59" s="12"/>
      <c r="C59" s="14"/>
      <c r="D59" s="14"/>
      <c r="E59" s="16"/>
      <c r="F59" s="16"/>
      <c r="G59" s="17"/>
      <c r="H59" s="17"/>
      <c r="I59" s="19"/>
      <c r="J59" s="17"/>
      <c r="K59" s="20"/>
      <c r="L59" s="18"/>
    </row>
    <row r="60" spans="1:13" x14ac:dyDescent="0.35">
      <c r="A60" s="11">
        <v>57</v>
      </c>
      <c r="B60" s="12"/>
      <c r="C60" s="14"/>
      <c r="D60" s="14"/>
      <c r="E60" s="16"/>
      <c r="F60" s="16"/>
      <c r="G60" s="17"/>
      <c r="H60" s="17"/>
      <c r="I60" s="19"/>
      <c r="J60" s="17"/>
      <c r="K60" s="20"/>
      <c r="L60" s="18"/>
      <c r="M60" s="24"/>
    </row>
    <row r="61" spans="1:13" x14ac:dyDescent="0.35">
      <c r="A61" s="11">
        <v>58</v>
      </c>
      <c r="B61" s="12"/>
      <c r="C61" s="14"/>
      <c r="D61" s="14"/>
      <c r="E61" s="16"/>
      <c r="F61" s="16"/>
      <c r="G61" s="17"/>
      <c r="H61" s="17"/>
      <c r="I61" s="19"/>
      <c r="J61" s="17"/>
      <c r="K61" s="20"/>
      <c r="L61" s="18"/>
      <c r="M61" s="24"/>
    </row>
    <row r="62" spans="1:13" x14ac:dyDescent="0.35">
      <c r="A62" s="11"/>
      <c r="B62" s="12"/>
      <c r="C62" s="14"/>
      <c r="D62" s="14"/>
      <c r="E62" s="16"/>
      <c r="F62" s="16"/>
      <c r="G62" s="17"/>
      <c r="H62" s="17"/>
      <c r="I62" s="19"/>
      <c r="J62" s="17"/>
      <c r="K62" s="20"/>
      <c r="L62" s="18"/>
      <c r="M62" s="24"/>
    </row>
    <row r="63" spans="1:13" x14ac:dyDescent="0.35">
      <c r="A63" s="11"/>
      <c r="B63" s="12"/>
      <c r="C63" s="14"/>
      <c r="D63" s="14"/>
      <c r="E63" s="16"/>
      <c r="F63" s="16"/>
      <c r="G63" s="17"/>
      <c r="H63" s="17"/>
      <c r="I63" s="19"/>
      <c r="J63" s="17"/>
      <c r="K63" s="20"/>
      <c r="L63" s="18"/>
      <c r="M63" s="24"/>
    </row>
    <row r="64" spans="1:13" ht="18.5" x14ac:dyDescent="0.45">
      <c r="A64" s="47" t="s">
        <v>47</v>
      </c>
      <c r="B64" s="48"/>
      <c r="C64" s="48"/>
      <c r="D64" s="48"/>
      <c r="E64" s="48"/>
      <c r="F64" s="48"/>
      <c r="G64" s="48"/>
      <c r="H64" s="49"/>
      <c r="I64" s="22">
        <f>SUM(I4:I63)</f>
        <v>2876416.3200000003</v>
      </c>
      <c r="J64" s="8"/>
      <c r="K64" s="8"/>
      <c r="L64" s="9"/>
    </row>
    <row r="75" spans="8:8" x14ac:dyDescent="0.35">
      <c r="H75" s="23"/>
    </row>
  </sheetData>
  <autoFilter ref="B2:L64"/>
  <mergeCells count="2">
    <mergeCell ref="A1:L1"/>
    <mergeCell ref="A64:H64"/>
  </mergeCells>
  <pageMargins left="0.7" right="0.7" top="0.75" bottom="0.75" header="0.3" footer="0.3"/>
  <pageSetup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abSelected="1" view="pageBreakPreview" zoomScale="85" zoomScaleNormal="160" zoomScaleSheetLayoutView="85" workbookViewId="0">
      <pane ySplit="2" topLeftCell="A15" activePane="bottomLeft" state="frozen"/>
      <selection pane="bottomLeft" activeCell="E40" sqref="E40"/>
    </sheetView>
  </sheetViews>
  <sheetFormatPr defaultRowHeight="14.5" x14ac:dyDescent="0.35"/>
  <cols>
    <col min="1" max="1" width="4.6328125" customWidth="1"/>
    <col min="2" max="2" width="10.81640625" customWidth="1"/>
    <col min="3" max="3" width="29.36328125" customWidth="1"/>
    <col min="4" max="4" width="19.1796875" customWidth="1"/>
    <col min="5" max="6" width="10.90625" customWidth="1"/>
    <col min="7" max="7" width="9.6328125" customWidth="1"/>
    <col min="8" max="8" width="11.81640625" customWidth="1"/>
    <col min="9" max="9" width="18.08984375" customWidth="1"/>
    <col min="10" max="12" width="11.81640625" customWidth="1"/>
    <col min="13" max="13" width="13.453125" customWidth="1"/>
    <col min="14" max="16" width="11.81640625" customWidth="1"/>
  </cols>
  <sheetData>
    <row r="1" spans="1:13" ht="21" x14ac:dyDescent="0.35">
      <c r="A1" s="42" t="s">
        <v>11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3" ht="31" x14ac:dyDescent="0.35">
      <c r="A2" s="1" t="s">
        <v>4</v>
      </c>
      <c r="B2" s="1" t="s">
        <v>0</v>
      </c>
      <c r="C2" s="1" t="s">
        <v>5</v>
      </c>
      <c r="D2" s="1" t="s">
        <v>12</v>
      </c>
      <c r="E2" s="1" t="s">
        <v>1</v>
      </c>
      <c r="F2" s="1" t="s">
        <v>2</v>
      </c>
      <c r="G2" s="1" t="s">
        <v>6</v>
      </c>
      <c r="H2" s="1" t="s">
        <v>3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3" x14ac:dyDescent="0.35">
      <c r="A3" s="2"/>
      <c r="B3" s="10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3" x14ac:dyDescent="0.35">
      <c r="A4" s="38"/>
      <c r="B4" s="39"/>
      <c r="C4" s="40" t="s">
        <v>148</v>
      </c>
      <c r="D4" s="40" t="s">
        <v>151</v>
      </c>
      <c r="E4" s="40"/>
      <c r="F4" s="40"/>
      <c r="G4" s="40"/>
      <c r="H4" s="40"/>
      <c r="I4" s="19">
        <v>10000</v>
      </c>
      <c r="J4" s="40"/>
      <c r="K4" s="20" t="s">
        <v>22</v>
      </c>
      <c r="L4" s="18">
        <v>45871</v>
      </c>
      <c r="M4" t="s">
        <v>142</v>
      </c>
    </row>
    <row r="5" spans="1:13" x14ac:dyDescent="0.35">
      <c r="A5" s="38"/>
      <c r="B5" s="39"/>
      <c r="C5" s="40" t="s">
        <v>149</v>
      </c>
      <c r="D5" s="40" t="s">
        <v>150</v>
      </c>
      <c r="E5" s="40"/>
      <c r="F5" s="40"/>
      <c r="G5" s="40"/>
      <c r="H5" s="40"/>
      <c r="I5" s="19">
        <v>56000</v>
      </c>
      <c r="J5" s="40"/>
      <c r="K5" s="20" t="s">
        <v>22</v>
      </c>
      <c r="L5" s="18">
        <v>45872</v>
      </c>
      <c r="M5" t="s">
        <v>142</v>
      </c>
    </row>
    <row r="6" spans="1:13" x14ac:dyDescent="0.35">
      <c r="A6" s="11"/>
      <c r="B6" s="16">
        <v>45855</v>
      </c>
      <c r="C6" s="14" t="s">
        <v>122</v>
      </c>
      <c r="D6" s="14" t="s">
        <v>40</v>
      </c>
      <c r="E6" s="16"/>
      <c r="F6" s="16">
        <v>45855</v>
      </c>
      <c r="G6" s="17" t="s">
        <v>14</v>
      </c>
      <c r="H6" s="17"/>
      <c r="I6" s="19">
        <v>22230</v>
      </c>
      <c r="J6" s="17" t="s">
        <v>21</v>
      </c>
      <c r="K6" s="20" t="s">
        <v>22</v>
      </c>
      <c r="L6" s="18">
        <v>45873</v>
      </c>
      <c r="M6" t="s">
        <v>142</v>
      </c>
    </row>
    <row r="7" spans="1:13" x14ac:dyDescent="0.35">
      <c r="A7" s="11"/>
      <c r="B7" s="16">
        <v>45863</v>
      </c>
      <c r="C7" s="14" t="s">
        <v>138</v>
      </c>
      <c r="D7" s="14" t="s">
        <v>40</v>
      </c>
      <c r="E7" s="16"/>
      <c r="F7" s="16">
        <v>45865</v>
      </c>
      <c r="G7" s="17" t="s">
        <v>32</v>
      </c>
      <c r="H7" s="17"/>
      <c r="I7" s="19">
        <v>36905</v>
      </c>
      <c r="J7" s="17" t="s">
        <v>21</v>
      </c>
      <c r="K7" s="20" t="s">
        <v>22</v>
      </c>
      <c r="L7" s="18">
        <v>45873</v>
      </c>
      <c r="M7" t="s">
        <v>142</v>
      </c>
    </row>
    <row r="8" spans="1:13" x14ac:dyDescent="0.35">
      <c r="A8" s="11"/>
      <c r="B8" s="16">
        <v>45864</v>
      </c>
      <c r="C8" s="14" t="s">
        <v>139</v>
      </c>
      <c r="D8" s="14" t="s">
        <v>40</v>
      </c>
      <c r="E8" s="16"/>
      <c r="F8" s="16">
        <v>45868</v>
      </c>
      <c r="G8" s="17" t="s">
        <v>19</v>
      </c>
      <c r="H8" s="17"/>
      <c r="I8" s="19">
        <v>43136</v>
      </c>
      <c r="J8" s="17" t="s">
        <v>21</v>
      </c>
      <c r="K8" s="20" t="s">
        <v>22</v>
      </c>
      <c r="L8" s="18">
        <v>45873</v>
      </c>
      <c r="M8" t="s">
        <v>142</v>
      </c>
    </row>
    <row r="9" spans="1:13" x14ac:dyDescent="0.35">
      <c r="A9" s="11"/>
      <c r="B9" s="16">
        <v>45863</v>
      </c>
      <c r="C9" s="14" t="s">
        <v>119</v>
      </c>
      <c r="D9" s="31" t="s">
        <v>39</v>
      </c>
      <c r="E9" s="16"/>
      <c r="F9" s="16">
        <v>45863</v>
      </c>
      <c r="G9" s="17" t="s">
        <v>32</v>
      </c>
      <c r="H9" s="17">
        <v>219</v>
      </c>
      <c r="I9" s="19">
        <v>33500</v>
      </c>
      <c r="J9" s="17" t="s">
        <v>21</v>
      </c>
      <c r="K9" s="20" t="s">
        <v>22</v>
      </c>
      <c r="L9" s="18">
        <v>45873</v>
      </c>
      <c r="M9" t="s">
        <v>101</v>
      </c>
    </row>
    <row r="10" spans="1:13" x14ac:dyDescent="0.35">
      <c r="A10" s="11"/>
      <c r="B10" s="37">
        <v>45866</v>
      </c>
      <c r="C10" s="14" t="s">
        <v>119</v>
      </c>
      <c r="D10" s="31" t="s">
        <v>39</v>
      </c>
      <c r="E10" s="16"/>
      <c r="F10" s="16">
        <v>45867</v>
      </c>
      <c r="G10" s="17" t="s">
        <v>19</v>
      </c>
      <c r="H10" s="17">
        <v>221</v>
      </c>
      <c r="I10" s="19">
        <v>33500</v>
      </c>
      <c r="J10" s="17" t="s">
        <v>21</v>
      </c>
      <c r="K10" s="20" t="s">
        <v>22</v>
      </c>
      <c r="L10" s="18">
        <f>F10+7</f>
        <v>45874</v>
      </c>
      <c r="M10" t="s">
        <v>101</v>
      </c>
    </row>
    <row r="11" spans="1:13" x14ac:dyDescent="0.35">
      <c r="A11" s="11"/>
      <c r="B11" s="37"/>
      <c r="C11" s="14" t="s">
        <v>75</v>
      </c>
      <c r="D11" s="14" t="s">
        <v>30</v>
      </c>
      <c r="E11" s="16"/>
      <c r="F11" s="27"/>
      <c r="G11" s="17" t="s">
        <v>14</v>
      </c>
      <c r="H11" s="17"/>
      <c r="I11" s="19">
        <v>32500</v>
      </c>
      <c r="J11" s="17" t="s">
        <v>21</v>
      </c>
      <c r="K11" s="20" t="s">
        <v>22</v>
      </c>
      <c r="L11" s="18">
        <v>45875</v>
      </c>
      <c r="M11" t="s">
        <v>142</v>
      </c>
    </row>
    <row r="12" spans="1:13" x14ac:dyDescent="0.35">
      <c r="A12" s="11"/>
      <c r="B12" s="12">
        <v>45863</v>
      </c>
      <c r="C12" s="14" t="s">
        <v>75</v>
      </c>
      <c r="D12" s="14" t="s">
        <v>30</v>
      </c>
      <c r="E12" s="16"/>
      <c r="F12" s="16">
        <v>45864</v>
      </c>
      <c r="G12" s="17" t="s">
        <v>14</v>
      </c>
      <c r="H12" s="17"/>
      <c r="I12" s="19">
        <v>32500</v>
      </c>
      <c r="J12" s="17" t="s">
        <v>21</v>
      </c>
      <c r="K12" s="20" t="s">
        <v>22</v>
      </c>
      <c r="L12" s="18">
        <v>45875</v>
      </c>
      <c r="M12" t="s">
        <v>142</v>
      </c>
    </row>
    <row r="13" spans="1:13" x14ac:dyDescent="0.35">
      <c r="A13" s="11"/>
      <c r="B13" s="12">
        <v>45866</v>
      </c>
      <c r="C13" s="14" t="s">
        <v>75</v>
      </c>
      <c r="D13" s="14" t="s">
        <v>30</v>
      </c>
      <c r="E13" s="16"/>
      <c r="F13" s="16">
        <v>45868</v>
      </c>
      <c r="G13" s="17" t="s">
        <v>32</v>
      </c>
      <c r="H13" s="17"/>
      <c r="I13" s="19">
        <v>34000</v>
      </c>
      <c r="J13" s="17" t="s">
        <v>21</v>
      </c>
      <c r="K13" s="20" t="s">
        <v>22</v>
      </c>
      <c r="L13" s="18">
        <v>45875</v>
      </c>
      <c r="M13" t="s">
        <v>142</v>
      </c>
    </row>
    <row r="14" spans="1:13" x14ac:dyDescent="0.35">
      <c r="A14" s="11"/>
      <c r="B14" s="12">
        <v>45872</v>
      </c>
      <c r="C14" s="14" t="s">
        <v>75</v>
      </c>
      <c r="D14" s="14" t="s">
        <v>30</v>
      </c>
      <c r="E14" s="16"/>
      <c r="F14" s="16">
        <v>45873</v>
      </c>
      <c r="G14" s="17" t="s">
        <v>14</v>
      </c>
      <c r="H14" s="17"/>
      <c r="I14" s="19">
        <v>33000</v>
      </c>
      <c r="J14" s="17" t="s">
        <v>21</v>
      </c>
      <c r="K14" s="20" t="s">
        <v>22</v>
      </c>
      <c r="L14" s="18">
        <v>45875</v>
      </c>
      <c r="M14" t="s">
        <v>142</v>
      </c>
    </row>
    <row r="15" spans="1:13" x14ac:dyDescent="0.35">
      <c r="A15" s="11"/>
      <c r="B15" s="12"/>
      <c r="C15" s="14"/>
      <c r="D15" s="14"/>
      <c r="E15" s="16"/>
      <c r="F15" s="16"/>
      <c r="G15" s="17"/>
      <c r="H15" s="17"/>
      <c r="I15" s="19"/>
      <c r="J15" s="17"/>
      <c r="K15" s="20"/>
      <c r="L15" s="18"/>
    </row>
    <row r="16" spans="1:13" x14ac:dyDescent="0.35">
      <c r="A16" s="11"/>
      <c r="B16" s="12"/>
      <c r="C16" s="14"/>
      <c r="D16" s="14"/>
      <c r="E16" s="16"/>
      <c r="F16" s="16"/>
      <c r="G16" s="17"/>
      <c r="H16" s="17"/>
      <c r="I16" s="19"/>
      <c r="J16" s="17"/>
      <c r="K16" s="20"/>
      <c r="L16" s="18"/>
    </row>
    <row r="17" spans="1:13" x14ac:dyDescent="0.35">
      <c r="A17" s="11"/>
      <c r="B17" s="12"/>
      <c r="C17" s="14" t="s">
        <v>153</v>
      </c>
      <c r="D17" s="14" t="s">
        <v>116</v>
      </c>
      <c r="E17" s="16"/>
      <c r="F17" s="16"/>
      <c r="G17" s="17" t="s">
        <v>32</v>
      </c>
      <c r="H17" s="17"/>
      <c r="I17" s="19">
        <v>65000</v>
      </c>
      <c r="J17" s="17" t="s">
        <v>15</v>
      </c>
      <c r="K17" s="20" t="s">
        <v>22</v>
      </c>
      <c r="L17" s="18">
        <v>45875</v>
      </c>
      <c r="M17" t="s">
        <v>142</v>
      </c>
    </row>
    <row r="18" spans="1:13" x14ac:dyDescent="0.35">
      <c r="A18" s="11"/>
      <c r="B18" s="12"/>
      <c r="C18" s="14"/>
      <c r="D18" s="14"/>
      <c r="E18" s="16"/>
      <c r="F18" s="16"/>
      <c r="G18" s="17"/>
      <c r="H18" s="17"/>
      <c r="I18" s="19"/>
      <c r="J18" s="17"/>
      <c r="K18" s="20"/>
      <c r="L18" s="18"/>
    </row>
    <row r="19" spans="1:13" x14ac:dyDescent="0.35">
      <c r="A19" s="11"/>
      <c r="B19" s="12"/>
      <c r="C19" s="14"/>
      <c r="D19" s="14"/>
      <c r="E19" s="16"/>
      <c r="F19" s="16"/>
      <c r="G19" s="17"/>
      <c r="H19" s="17"/>
      <c r="I19" s="19"/>
      <c r="J19" s="17"/>
      <c r="K19" s="20"/>
      <c r="L19" s="18"/>
    </row>
    <row r="20" spans="1:13" x14ac:dyDescent="0.35">
      <c r="A20" s="11"/>
      <c r="B20" s="16">
        <v>45860</v>
      </c>
      <c r="C20" s="14" t="s">
        <v>143</v>
      </c>
      <c r="D20" s="31" t="s">
        <v>26</v>
      </c>
      <c r="E20" s="16"/>
      <c r="F20" s="16">
        <v>45860</v>
      </c>
      <c r="G20" s="17" t="s">
        <v>14</v>
      </c>
      <c r="H20" s="17"/>
      <c r="I20" s="28">
        <v>17325</v>
      </c>
      <c r="J20" s="17" t="s">
        <v>21</v>
      </c>
      <c r="K20" s="20" t="s">
        <v>22</v>
      </c>
      <c r="L20" s="18">
        <v>45876</v>
      </c>
      <c r="M20" t="s">
        <v>142</v>
      </c>
    </row>
    <row r="21" spans="1:13" x14ac:dyDescent="0.35">
      <c r="A21" s="11"/>
      <c r="B21" s="16">
        <v>45861</v>
      </c>
      <c r="C21" s="14" t="s">
        <v>121</v>
      </c>
      <c r="D21" s="14" t="s">
        <v>26</v>
      </c>
      <c r="E21" s="16"/>
      <c r="F21" s="16">
        <v>45861</v>
      </c>
      <c r="G21" s="17" t="s">
        <v>14</v>
      </c>
      <c r="H21" s="17"/>
      <c r="I21" s="28">
        <v>10500</v>
      </c>
      <c r="J21" s="17" t="s">
        <v>21</v>
      </c>
      <c r="K21" s="20" t="s">
        <v>22</v>
      </c>
      <c r="L21" s="18">
        <v>45876</v>
      </c>
      <c r="M21" t="s">
        <v>142</v>
      </c>
    </row>
    <row r="22" spans="1:13" x14ac:dyDescent="0.35">
      <c r="A22" s="11"/>
      <c r="B22" s="16">
        <v>45860</v>
      </c>
      <c r="C22" s="14" t="s">
        <v>75</v>
      </c>
      <c r="D22" s="14" t="s">
        <v>30</v>
      </c>
      <c r="E22" s="16"/>
      <c r="F22" s="16">
        <v>45860</v>
      </c>
      <c r="G22" s="17" t="s">
        <v>14</v>
      </c>
      <c r="H22" s="17"/>
      <c r="I22" s="19">
        <v>32500</v>
      </c>
      <c r="J22" s="17" t="s">
        <v>21</v>
      </c>
      <c r="K22" s="20" t="s">
        <v>22</v>
      </c>
      <c r="L22" s="18">
        <v>45875</v>
      </c>
      <c r="M22" t="s">
        <v>142</v>
      </c>
    </row>
    <row r="23" spans="1:13" x14ac:dyDescent="0.35">
      <c r="A23" s="11"/>
      <c r="B23" s="16"/>
      <c r="C23" s="14"/>
      <c r="D23" s="14"/>
      <c r="E23" s="16"/>
      <c r="F23" s="16"/>
      <c r="G23" s="17"/>
      <c r="H23" s="17"/>
      <c r="I23" s="19"/>
      <c r="J23" s="17"/>
      <c r="K23" s="20"/>
      <c r="L23" s="18"/>
    </row>
    <row r="24" spans="1:13" x14ac:dyDescent="0.35">
      <c r="A24" s="11"/>
      <c r="B24" s="16"/>
      <c r="C24" s="14"/>
      <c r="D24" s="14"/>
      <c r="E24" s="16"/>
      <c r="F24" s="16"/>
      <c r="G24" s="17"/>
      <c r="H24" s="17"/>
      <c r="I24" s="19"/>
      <c r="J24" s="17"/>
      <c r="K24" s="20"/>
      <c r="L24" s="18"/>
    </row>
    <row r="25" spans="1:13" x14ac:dyDescent="0.35">
      <c r="A25" s="11"/>
      <c r="B25" s="16">
        <v>45859</v>
      </c>
      <c r="C25" s="14" t="s">
        <v>118</v>
      </c>
      <c r="D25" s="14" t="s">
        <v>120</v>
      </c>
      <c r="E25" s="16"/>
      <c r="F25" s="16">
        <v>45859</v>
      </c>
      <c r="G25" s="17" t="s">
        <v>32</v>
      </c>
      <c r="H25" s="17"/>
      <c r="I25" s="19">
        <v>4200</v>
      </c>
      <c r="J25" s="17" t="s">
        <v>21</v>
      </c>
      <c r="K25" s="20" t="s">
        <v>22</v>
      </c>
      <c r="L25" s="18">
        <v>45878</v>
      </c>
      <c r="M25" t="s">
        <v>142</v>
      </c>
    </row>
    <row r="26" spans="1:13" x14ac:dyDescent="0.35">
      <c r="A26" s="11"/>
      <c r="B26" s="16">
        <v>45861</v>
      </c>
      <c r="C26" s="14" t="s">
        <v>144</v>
      </c>
      <c r="D26" s="14" t="s">
        <v>120</v>
      </c>
      <c r="E26" s="16"/>
      <c r="F26" s="16">
        <v>45861</v>
      </c>
      <c r="G26" s="17" t="s">
        <v>32</v>
      </c>
      <c r="H26" s="17"/>
      <c r="I26" s="19">
        <v>12100</v>
      </c>
      <c r="J26" s="17" t="s">
        <v>21</v>
      </c>
      <c r="K26" s="20" t="s">
        <v>22</v>
      </c>
      <c r="L26" s="18">
        <v>45878</v>
      </c>
      <c r="M26" t="s">
        <v>142</v>
      </c>
    </row>
    <row r="27" spans="1:13" x14ac:dyDescent="0.35">
      <c r="A27" s="11"/>
      <c r="B27" s="16"/>
      <c r="C27" s="40" t="s">
        <v>148</v>
      </c>
      <c r="D27" s="40" t="s">
        <v>151</v>
      </c>
      <c r="E27" s="40"/>
      <c r="F27" s="40"/>
      <c r="G27" s="40"/>
      <c r="H27" s="40"/>
      <c r="I27" s="19">
        <v>10000</v>
      </c>
      <c r="J27" s="17"/>
      <c r="K27" s="20" t="s">
        <v>22</v>
      </c>
      <c r="L27" s="18">
        <v>45878</v>
      </c>
      <c r="M27" t="s">
        <v>142</v>
      </c>
    </row>
    <row r="28" spans="1:13" x14ac:dyDescent="0.35">
      <c r="A28" s="11"/>
      <c r="B28" s="16"/>
      <c r="C28" s="40" t="s">
        <v>148</v>
      </c>
      <c r="D28" s="40" t="s">
        <v>151</v>
      </c>
      <c r="E28" s="40"/>
      <c r="F28" s="40"/>
      <c r="G28" s="40"/>
      <c r="H28" s="40"/>
      <c r="I28" s="19">
        <v>20000</v>
      </c>
      <c r="J28" s="17"/>
      <c r="K28" s="20" t="s">
        <v>22</v>
      </c>
      <c r="L28" s="18">
        <v>45883</v>
      </c>
      <c r="M28" t="s">
        <v>142</v>
      </c>
    </row>
    <row r="29" spans="1:13" x14ac:dyDescent="0.35">
      <c r="A29" s="11"/>
      <c r="B29" s="12">
        <v>45877</v>
      </c>
      <c r="C29" s="14" t="s">
        <v>75</v>
      </c>
      <c r="D29" s="14" t="s">
        <v>30</v>
      </c>
      <c r="E29" s="16"/>
      <c r="F29" s="16">
        <v>45877</v>
      </c>
      <c r="G29" s="17" t="s">
        <v>14</v>
      </c>
      <c r="H29" s="17"/>
      <c r="I29" s="19">
        <v>34000</v>
      </c>
      <c r="J29" s="17" t="s">
        <v>21</v>
      </c>
      <c r="K29" s="20" t="s">
        <v>22</v>
      </c>
      <c r="L29" s="18">
        <v>45885</v>
      </c>
      <c r="M29" t="s">
        <v>142</v>
      </c>
    </row>
    <row r="30" spans="1:13" x14ac:dyDescent="0.35">
      <c r="A30" s="11"/>
      <c r="B30" s="12">
        <v>45877</v>
      </c>
      <c r="C30" s="14" t="s">
        <v>75</v>
      </c>
      <c r="D30" s="14" t="s">
        <v>30</v>
      </c>
      <c r="E30" s="16"/>
      <c r="F30" s="16">
        <v>45878</v>
      </c>
      <c r="G30" s="17" t="s">
        <v>14</v>
      </c>
      <c r="H30" s="17"/>
      <c r="I30" s="19">
        <v>34000</v>
      </c>
      <c r="J30" s="17" t="s">
        <v>21</v>
      </c>
      <c r="K30" s="20" t="s">
        <v>22</v>
      </c>
      <c r="L30" s="18">
        <v>45885</v>
      </c>
      <c r="M30" t="s">
        <v>142</v>
      </c>
    </row>
    <row r="31" spans="1:13" x14ac:dyDescent="0.35">
      <c r="A31" s="11"/>
      <c r="B31" s="12">
        <v>45877</v>
      </c>
      <c r="C31" s="14" t="s">
        <v>152</v>
      </c>
      <c r="D31" s="14" t="s">
        <v>30</v>
      </c>
      <c r="E31" s="16"/>
      <c r="F31" s="16">
        <v>45878</v>
      </c>
      <c r="G31" s="17" t="s">
        <v>14</v>
      </c>
      <c r="H31" s="17"/>
      <c r="I31" s="19">
        <v>34000</v>
      </c>
      <c r="J31" s="17" t="s">
        <v>21</v>
      </c>
      <c r="K31" s="20" t="s">
        <v>22</v>
      </c>
      <c r="L31" s="18">
        <v>45885</v>
      </c>
      <c r="M31" t="s">
        <v>142</v>
      </c>
    </row>
    <row r="32" spans="1:13" x14ac:dyDescent="0.35">
      <c r="A32" s="11"/>
      <c r="B32" s="12">
        <v>45880</v>
      </c>
      <c r="C32" s="14" t="s">
        <v>75</v>
      </c>
      <c r="D32" s="14" t="s">
        <v>30</v>
      </c>
      <c r="E32" s="16"/>
      <c r="F32" s="16">
        <v>45880</v>
      </c>
      <c r="G32" s="17" t="s">
        <v>14</v>
      </c>
      <c r="H32" s="17"/>
      <c r="I32" s="19">
        <v>35000</v>
      </c>
      <c r="J32" s="17" t="s">
        <v>21</v>
      </c>
      <c r="K32" s="20" t="s">
        <v>22</v>
      </c>
      <c r="L32" s="18">
        <v>45885</v>
      </c>
      <c r="M32" t="s">
        <v>142</v>
      </c>
    </row>
    <row r="33" spans="1:14" x14ac:dyDescent="0.35">
      <c r="A33" s="11"/>
      <c r="B33" s="12">
        <v>45880</v>
      </c>
      <c r="C33" s="14" t="s">
        <v>75</v>
      </c>
      <c r="D33" s="14" t="s">
        <v>30</v>
      </c>
      <c r="E33" s="16"/>
      <c r="F33" s="16">
        <v>45881</v>
      </c>
      <c r="G33" s="17" t="s">
        <v>14</v>
      </c>
      <c r="H33" s="17"/>
      <c r="I33" s="19">
        <v>35000</v>
      </c>
      <c r="J33" s="17" t="s">
        <v>21</v>
      </c>
      <c r="K33" s="20" t="s">
        <v>22</v>
      </c>
      <c r="L33" s="18">
        <v>45885</v>
      </c>
      <c r="M33" t="s">
        <v>142</v>
      </c>
    </row>
    <row r="34" spans="1:14" x14ac:dyDescent="0.35">
      <c r="A34" s="11"/>
      <c r="B34" s="16"/>
      <c r="C34" s="14" t="s">
        <v>154</v>
      </c>
      <c r="D34" s="14" t="s">
        <v>155</v>
      </c>
      <c r="E34" s="16"/>
      <c r="F34" s="16"/>
      <c r="G34" s="17" t="s">
        <v>107</v>
      </c>
      <c r="H34" s="17"/>
      <c r="I34" s="19">
        <v>40000</v>
      </c>
      <c r="J34" s="17" t="s">
        <v>108</v>
      </c>
      <c r="K34" s="20" t="s">
        <v>22</v>
      </c>
      <c r="L34" s="18">
        <v>45885</v>
      </c>
    </row>
    <row r="35" spans="1:14" x14ac:dyDescent="0.35">
      <c r="A35" s="11"/>
      <c r="B35" s="16"/>
      <c r="C35" s="14" t="s">
        <v>35</v>
      </c>
      <c r="D35" s="14" t="s">
        <v>37</v>
      </c>
      <c r="E35" s="16"/>
      <c r="F35" s="16"/>
      <c r="G35" s="17" t="s">
        <v>14</v>
      </c>
      <c r="H35" s="17"/>
      <c r="I35" s="19">
        <v>300000</v>
      </c>
      <c r="J35" s="17" t="s">
        <v>25</v>
      </c>
      <c r="K35" s="20" t="s">
        <v>22</v>
      </c>
      <c r="L35" s="18">
        <v>45889</v>
      </c>
      <c r="M35" t="s">
        <v>158</v>
      </c>
    </row>
    <row r="36" spans="1:14" x14ac:dyDescent="0.35">
      <c r="A36" s="11"/>
      <c r="B36" s="16"/>
      <c r="C36" s="14" t="s">
        <v>156</v>
      </c>
      <c r="D36" s="14" t="s">
        <v>116</v>
      </c>
      <c r="E36" s="16"/>
      <c r="F36" s="16"/>
      <c r="G36" s="17" t="s">
        <v>32</v>
      </c>
      <c r="H36" s="17"/>
      <c r="I36" s="19">
        <v>50000</v>
      </c>
      <c r="J36" s="17" t="s">
        <v>15</v>
      </c>
      <c r="K36" s="20" t="s">
        <v>22</v>
      </c>
      <c r="L36" s="18">
        <v>45889</v>
      </c>
      <c r="M36" t="s">
        <v>142</v>
      </c>
    </row>
    <row r="37" spans="1:14" x14ac:dyDescent="0.35">
      <c r="A37" s="11"/>
      <c r="B37" s="16"/>
      <c r="C37" s="14" t="s">
        <v>62</v>
      </c>
      <c r="D37" s="14" t="s">
        <v>63</v>
      </c>
      <c r="E37" s="16"/>
      <c r="F37" s="16"/>
      <c r="G37" s="17" t="s">
        <v>19</v>
      </c>
      <c r="H37" s="17"/>
      <c r="I37" s="19">
        <v>40500</v>
      </c>
      <c r="J37" s="17" t="s">
        <v>25</v>
      </c>
      <c r="K37" s="20" t="s">
        <v>22</v>
      </c>
      <c r="L37" s="18">
        <v>45857</v>
      </c>
      <c r="M37" t="s">
        <v>157</v>
      </c>
    </row>
    <row r="38" spans="1:14" x14ac:dyDescent="0.35">
      <c r="A38" s="11"/>
      <c r="B38" s="16"/>
      <c r="C38" s="14" t="s">
        <v>156</v>
      </c>
      <c r="D38" s="14" t="s">
        <v>116</v>
      </c>
      <c r="E38" s="16"/>
      <c r="F38" s="16"/>
      <c r="G38" s="17" t="s">
        <v>32</v>
      </c>
      <c r="H38" s="17"/>
      <c r="I38" s="19">
        <v>50000</v>
      </c>
      <c r="J38" s="17" t="s">
        <v>15</v>
      </c>
      <c r="K38" s="20" t="s">
        <v>22</v>
      </c>
      <c r="L38" s="18">
        <v>45889</v>
      </c>
      <c r="M38" t="s">
        <v>142</v>
      </c>
    </row>
    <row r="39" spans="1:14" x14ac:dyDescent="0.35">
      <c r="A39" s="11"/>
      <c r="B39" s="16">
        <v>45852</v>
      </c>
      <c r="C39" s="14" t="s">
        <v>146</v>
      </c>
      <c r="D39" s="14" t="s">
        <v>145</v>
      </c>
      <c r="E39" s="16"/>
      <c r="F39" s="16"/>
      <c r="G39" s="17" t="s">
        <v>14</v>
      </c>
      <c r="H39" s="17"/>
      <c r="I39" s="19">
        <v>200000</v>
      </c>
      <c r="J39" s="17" t="s">
        <v>15</v>
      </c>
      <c r="K39" s="20" t="s">
        <v>22</v>
      </c>
      <c r="L39" s="18">
        <v>45899</v>
      </c>
      <c r="M39" t="s">
        <v>142</v>
      </c>
      <c r="N39" t="s">
        <v>147</v>
      </c>
    </row>
    <row r="40" spans="1:14" x14ac:dyDescent="0.35">
      <c r="A40" s="11"/>
      <c r="B40" s="16"/>
      <c r="C40" s="14"/>
      <c r="D40" s="14"/>
      <c r="E40" s="16"/>
      <c r="F40" s="16"/>
      <c r="G40" s="17"/>
      <c r="H40" s="17"/>
      <c r="I40" s="19"/>
      <c r="J40" s="17"/>
      <c r="K40" s="20"/>
      <c r="L40" s="18"/>
    </row>
    <row r="41" spans="1:14" x14ac:dyDescent="0.35">
      <c r="A41" s="11"/>
      <c r="B41" s="12"/>
      <c r="C41" s="14"/>
      <c r="D41" s="14"/>
      <c r="E41" s="16"/>
      <c r="F41" s="16"/>
      <c r="G41" s="17"/>
      <c r="H41" s="17"/>
      <c r="I41" s="19"/>
      <c r="J41" s="17"/>
      <c r="K41" s="20"/>
      <c r="L41" s="18"/>
    </row>
    <row r="42" spans="1:14" x14ac:dyDescent="0.35">
      <c r="A42" s="11"/>
      <c r="B42" s="18"/>
      <c r="C42" s="14"/>
      <c r="D42" s="14"/>
      <c r="E42" s="16"/>
      <c r="F42" s="18"/>
      <c r="G42" s="17"/>
      <c r="H42" s="17"/>
      <c r="I42" s="19"/>
      <c r="J42" s="17"/>
      <c r="K42" s="20"/>
      <c r="L42" s="18"/>
    </row>
    <row r="43" spans="1:14" x14ac:dyDescent="0.35">
      <c r="A43" s="11"/>
      <c r="B43" s="16"/>
      <c r="C43" s="14"/>
      <c r="D43" s="14"/>
      <c r="E43" s="16"/>
      <c r="F43" s="16"/>
      <c r="G43" s="17"/>
      <c r="H43" s="17"/>
      <c r="I43" s="19"/>
      <c r="J43" s="17"/>
      <c r="K43" s="20"/>
      <c r="L43" s="18"/>
    </row>
    <row r="44" spans="1:14" x14ac:dyDescent="0.35">
      <c r="A44" s="11"/>
      <c r="B44" s="16"/>
      <c r="C44" s="14"/>
      <c r="D44" s="14"/>
      <c r="E44" s="16"/>
      <c r="F44" s="16"/>
      <c r="G44" s="17"/>
      <c r="H44" s="17"/>
      <c r="I44" s="19"/>
      <c r="J44" s="17"/>
      <c r="K44" s="20"/>
      <c r="L44" s="18"/>
    </row>
    <row r="45" spans="1:14" x14ac:dyDescent="0.35">
      <c r="A45" s="11"/>
      <c r="B45" s="37"/>
      <c r="C45" s="14"/>
      <c r="D45" s="31"/>
      <c r="E45" s="16"/>
      <c r="F45" s="16"/>
      <c r="G45" s="17"/>
      <c r="H45" s="17"/>
      <c r="I45" s="19"/>
      <c r="J45" s="17"/>
      <c r="K45" s="21"/>
      <c r="L45" s="18"/>
    </row>
    <row r="46" spans="1:14" x14ac:dyDescent="0.35">
      <c r="A46" s="11"/>
      <c r="B46" s="12"/>
      <c r="C46" s="14"/>
      <c r="D46" s="14"/>
      <c r="E46" s="16"/>
      <c r="F46" s="16"/>
      <c r="G46" s="17"/>
      <c r="H46" s="17"/>
      <c r="I46" s="19"/>
      <c r="J46" s="17"/>
      <c r="K46" s="20"/>
      <c r="L46" s="18"/>
    </row>
    <row r="47" spans="1:14" x14ac:dyDescent="0.35">
      <c r="A47" s="11"/>
      <c r="B47" s="12"/>
      <c r="C47" s="14"/>
      <c r="D47" s="14"/>
      <c r="E47" s="16"/>
      <c r="F47" s="16"/>
      <c r="G47" s="17"/>
      <c r="H47" s="17"/>
      <c r="I47" s="19"/>
      <c r="J47" s="17"/>
      <c r="K47" s="20"/>
      <c r="L47" s="18"/>
    </row>
    <row r="48" spans="1:14" x14ac:dyDescent="0.35">
      <c r="A48" s="11"/>
      <c r="B48" s="12"/>
      <c r="C48" s="14"/>
      <c r="D48" s="14"/>
      <c r="E48" s="16"/>
      <c r="F48" s="16"/>
      <c r="G48" s="17"/>
      <c r="H48" s="17"/>
      <c r="I48" s="19"/>
      <c r="J48" s="17"/>
      <c r="K48" s="20"/>
      <c r="L48" s="18"/>
    </row>
    <row r="49" spans="1:12" x14ac:dyDescent="0.35">
      <c r="A49" s="11"/>
      <c r="B49" s="12"/>
      <c r="C49" s="14"/>
      <c r="D49" s="14"/>
      <c r="E49" s="16"/>
      <c r="F49" s="16"/>
      <c r="G49" s="17"/>
      <c r="H49" s="17"/>
      <c r="I49" s="19"/>
      <c r="J49" s="17"/>
      <c r="K49" s="20"/>
      <c r="L49" s="18"/>
    </row>
    <row r="50" spans="1:12" x14ac:dyDescent="0.35">
      <c r="A50" s="11"/>
      <c r="B50" s="12"/>
      <c r="C50" s="14"/>
      <c r="D50" s="14"/>
      <c r="E50" s="16"/>
      <c r="F50" s="16"/>
      <c r="G50" s="17"/>
      <c r="H50" s="17"/>
      <c r="I50" s="19"/>
      <c r="J50" s="17"/>
      <c r="K50" s="20"/>
      <c r="L50" s="18"/>
    </row>
    <row r="51" spans="1:12" x14ac:dyDescent="0.35">
      <c r="A51" s="11"/>
      <c r="B51" s="12"/>
      <c r="C51" s="14"/>
      <c r="D51" s="14"/>
      <c r="E51" s="16"/>
      <c r="F51" s="16"/>
      <c r="G51" s="17"/>
      <c r="H51" s="17"/>
      <c r="I51" s="19"/>
      <c r="J51" s="17"/>
      <c r="K51" s="20"/>
      <c r="L51" s="18"/>
    </row>
    <row r="52" spans="1:12" x14ac:dyDescent="0.35">
      <c r="A52" s="11"/>
      <c r="B52" s="12"/>
      <c r="C52" s="14"/>
      <c r="D52" s="14"/>
      <c r="E52" s="16"/>
      <c r="F52" s="16"/>
      <c r="G52" s="17"/>
      <c r="H52" s="17"/>
      <c r="I52" s="19"/>
      <c r="J52" s="17"/>
      <c r="K52" s="20"/>
      <c r="L52" s="18"/>
    </row>
    <row r="53" spans="1:12" ht="18.5" x14ac:dyDescent="0.45">
      <c r="A53" s="44" t="s">
        <v>47</v>
      </c>
      <c r="B53" s="45"/>
      <c r="C53" s="45"/>
      <c r="D53" s="45"/>
      <c r="E53" s="45"/>
      <c r="F53" s="45"/>
      <c r="G53" s="45"/>
      <c r="H53" s="46"/>
      <c r="I53" s="22">
        <f>SUM(I4:I52)</f>
        <v>1391396</v>
      </c>
      <c r="J53" s="8"/>
      <c r="K53" s="8"/>
      <c r="L53" s="9"/>
    </row>
    <row r="70" spans="8:8" x14ac:dyDescent="0.35">
      <c r="H70" s="23"/>
    </row>
  </sheetData>
  <autoFilter ref="B2:L53"/>
  <mergeCells count="2">
    <mergeCell ref="A1:L1"/>
    <mergeCell ref="A53:H53"/>
  </mergeCells>
  <pageMargins left="0.7" right="0.7" top="0.75" bottom="0.75" header="0.3" footer="0.3"/>
  <pageSetup scale="5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view="pageBreakPreview" zoomScale="85" zoomScaleNormal="160" zoomScaleSheetLayoutView="85" workbookViewId="0">
      <pane ySplit="2" topLeftCell="A3" activePane="bottomLeft" state="frozen"/>
      <selection pane="bottomLeft" activeCell="F10" sqref="F10"/>
    </sheetView>
  </sheetViews>
  <sheetFormatPr defaultRowHeight="14.5" x14ac:dyDescent="0.35"/>
  <cols>
    <col min="1" max="1" width="4.6328125" customWidth="1"/>
    <col min="2" max="2" width="10.81640625" customWidth="1"/>
    <col min="3" max="3" width="29.36328125" customWidth="1"/>
    <col min="4" max="4" width="19.1796875" customWidth="1"/>
    <col min="5" max="6" width="10.90625" customWidth="1"/>
    <col min="7" max="7" width="9.6328125" customWidth="1"/>
    <col min="8" max="8" width="11.81640625" customWidth="1"/>
    <col min="9" max="9" width="18.08984375" customWidth="1"/>
    <col min="10" max="12" width="11.81640625" customWidth="1"/>
    <col min="13" max="13" width="13.453125" customWidth="1"/>
    <col min="14" max="16" width="11.81640625" customWidth="1"/>
  </cols>
  <sheetData>
    <row r="1" spans="1:13" ht="21" x14ac:dyDescent="0.35">
      <c r="A1" s="42" t="s">
        <v>11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3" ht="31" x14ac:dyDescent="0.35">
      <c r="A2" s="1" t="s">
        <v>4</v>
      </c>
      <c r="B2" s="1" t="s">
        <v>0</v>
      </c>
      <c r="C2" s="1" t="s">
        <v>5</v>
      </c>
      <c r="D2" s="1" t="s">
        <v>12</v>
      </c>
      <c r="E2" s="1" t="s">
        <v>1</v>
      </c>
      <c r="F2" s="1" t="s">
        <v>2</v>
      </c>
      <c r="G2" s="1" t="s">
        <v>6</v>
      </c>
      <c r="H2" s="1" t="s">
        <v>3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3" x14ac:dyDescent="0.35">
      <c r="A3" s="2"/>
      <c r="B3" s="10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3" x14ac:dyDescent="0.35">
      <c r="A4" s="38"/>
      <c r="B4" s="39"/>
      <c r="C4" s="14" t="s">
        <v>159</v>
      </c>
      <c r="D4" s="31" t="s">
        <v>26</v>
      </c>
      <c r="E4" s="16"/>
      <c r="F4" s="16"/>
      <c r="G4" s="17" t="s">
        <v>14</v>
      </c>
      <c r="H4" s="17"/>
      <c r="I4" s="41">
        <v>23300</v>
      </c>
      <c r="J4" s="17" t="s">
        <v>21</v>
      </c>
      <c r="K4" s="20" t="s">
        <v>22</v>
      </c>
      <c r="L4" s="18">
        <v>45902</v>
      </c>
      <c r="M4" t="s">
        <v>142</v>
      </c>
    </row>
    <row r="5" spans="1:13" x14ac:dyDescent="0.35">
      <c r="A5" s="38"/>
      <c r="B5" s="39"/>
      <c r="C5" s="40" t="s">
        <v>160</v>
      </c>
      <c r="D5" s="40" t="s">
        <v>161</v>
      </c>
      <c r="E5" s="40"/>
      <c r="F5" s="40"/>
      <c r="G5" s="17" t="s">
        <v>14</v>
      </c>
      <c r="H5" s="40"/>
      <c r="I5" s="19">
        <v>34000</v>
      </c>
      <c r="J5" s="17" t="s">
        <v>21</v>
      </c>
      <c r="K5" s="20" t="s">
        <v>22</v>
      </c>
      <c r="L5" s="18">
        <v>45902</v>
      </c>
      <c r="M5" t="s">
        <v>142</v>
      </c>
    </row>
    <row r="6" spans="1:13" x14ac:dyDescent="0.35">
      <c r="A6" s="11"/>
      <c r="B6" s="16"/>
      <c r="C6" s="14" t="s">
        <v>163</v>
      </c>
      <c r="D6" s="14"/>
      <c r="E6" s="16"/>
      <c r="F6" s="16"/>
      <c r="G6" s="17" t="s">
        <v>107</v>
      </c>
      <c r="H6" s="17"/>
      <c r="I6" s="19">
        <v>66000</v>
      </c>
      <c r="J6" s="17"/>
      <c r="K6" s="20" t="s">
        <v>22</v>
      </c>
      <c r="L6" s="18">
        <v>45902</v>
      </c>
      <c r="M6" t="s">
        <v>142</v>
      </c>
    </row>
    <row r="7" spans="1:13" x14ac:dyDescent="0.35">
      <c r="A7" s="11"/>
      <c r="B7" s="16"/>
      <c r="C7" s="14" t="s">
        <v>35</v>
      </c>
      <c r="D7" s="14" t="s">
        <v>37</v>
      </c>
      <c r="E7" s="16"/>
      <c r="F7" s="16"/>
      <c r="G7" s="17" t="s">
        <v>14</v>
      </c>
      <c r="H7" s="17"/>
      <c r="I7" s="19">
        <v>500000</v>
      </c>
      <c r="J7" s="17" t="s">
        <v>21</v>
      </c>
      <c r="K7" s="20" t="s">
        <v>22</v>
      </c>
      <c r="L7" s="18">
        <v>45904</v>
      </c>
      <c r="M7" t="s">
        <v>162</v>
      </c>
    </row>
    <row r="8" spans="1:13" x14ac:dyDescent="0.35">
      <c r="A8" s="11"/>
      <c r="B8" s="16"/>
      <c r="C8" s="14"/>
      <c r="D8" s="14"/>
      <c r="E8" s="16"/>
      <c r="F8" s="16"/>
      <c r="G8" s="17"/>
      <c r="H8" s="17"/>
      <c r="I8" s="19"/>
      <c r="J8" s="17"/>
      <c r="K8" s="20"/>
      <c r="L8" s="18"/>
    </row>
    <row r="9" spans="1:13" x14ac:dyDescent="0.35">
      <c r="A9" s="11"/>
      <c r="B9" s="16"/>
      <c r="C9" s="14"/>
      <c r="D9" s="31"/>
      <c r="E9" s="16"/>
      <c r="F9" s="16"/>
      <c r="G9" s="17"/>
      <c r="H9" s="17"/>
      <c r="I9" s="19"/>
      <c r="J9" s="17"/>
      <c r="K9" s="20"/>
      <c r="L9" s="18"/>
    </row>
    <row r="10" spans="1:13" x14ac:dyDescent="0.35">
      <c r="A10" s="11"/>
      <c r="B10" s="37"/>
      <c r="C10" s="14"/>
      <c r="D10" s="31"/>
      <c r="E10" s="16"/>
      <c r="F10" s="16"/>
      <c r="G10" s="17"/>
      <c r="H10" s="17"/>
      <c r="I10" s="19"/>
      <c r="J10" s="17"/>
      <c r="K10" s="20"/>
      <c r="L10" s="18"/>
    </row>
    <row r="11" spans="1:13" x14ac:dyDescent="0.35">
      <c r="A11" s="11"/>
      <c r="B11" s="37"/>
      <c r="C11" s="14"/>
      <c r="D11" s="14"/>
      <c r="E11" s="16"/>
      <c r="F11" s="16"/>
      <c r="G11" s="17"/>
      <c r="H11" s="17"/>
      <c r="I11" s="19"/>
      <c r="J11" s="17"/>
      <c r="K11" s="20"/>
      <c r="L11" s="18"/>
    </row>
    <row r="12" spans="1:13" x14ac:dyDescent="0.35">
      <c r="A12" s="11"/>
      <c r="B12" s="12"/>
      <c r="C12" s="14"/>
      <c r="D12" s="14"/>
      <c r="E12" s="16"/>
      <c r="F12" s="16"/>
      <c r="G12" s="17"/>
      <c r="H12" s="17"/>
      <c r="I12" s="19"/>
      <c r="J12" s="17"/>
      <c r="K12" s="20"/>
      <c r="L12" s="18"/>
    </row>
    <row r="13" spans="1:13" x14ac:dyDescent="0.35">
      <c r="A13" s="11"/>
      <c r="B13" s="12"/>
      <c r="C13" s="14"/>
      <c r="D13" s="14"/>
      <c r="E13" s="16"/>
      <c r="F13" s="16"/>
      <c r="G13" s="17"/>
      <c r="H13" s="17"/>
      <c r="I13" s="19"/>
      <c r="J13" s="17"/>
      <c r="K13" s="20"/>
      <c r="L13" s="18"/>
    </row>
    <row r="14" spans="1:13" x14ac:dyDescent="0.35">
      <c r="A14" s="11"/>
      <c r="B14" s="12"/>
      <c r="C14" s="14"/>
      <c r="D14" s="14"/>
      <c r="E14" s="16"/>
      <c r="F14" s="16"/>
      <c r="G14" s="17"/>
      <c r="H14" s="17"/>
      <c r="I14" s="19"/>
      <c r="J14" s="17"/>
      <c r="K14" s="20"/>
      <c r="L14" s="18"/>
    </row>
    <row r="15" spans="1:13" x14ac:dyDescent="0.35">
      <c r="A15" s="11"/>
      <c r="B15" s="12"/>
      <c r="C15" s="14"/>
      <c r="D15" s="14"/>
      <c r="E15" s="16"/>
      <c r="F15" s="16"/>
      <c r="G15" s="17"/>
      <c r="H15" s="17"/>
      <c r="I15" s="19"/>
      <c r="J15" s="17"/>
      <c r="K15" s="20"/>
      <c r="L15" s="18"/>
    </row>
    <row r="16" spans="1:13" x14ac:dyDescent="0.35">
      <c r="A16" s="11"/>
      <c r="B16" s="12"/>
      <c r="C16" s="14"/>
      <c r="D16" s="14"/>
      <c r="E16" s="16"/>
      <c r="F16" s="16"/>
      <c r="G16" s="17"/>
      <c r="H16" s="17"/>
      <c r="I16" s="19"/>
      <c r="J16" s="17"/>
      <c r="K16" s="20"/>
      <c r="L16" s="18"/>
    </row>
    <row r="17" spans="1:12" x14ac:dyDescent="0.35">
      <c r="A17" s="11"/>
      <c r="B17" s="12"/>
      <c r="C17" s="14"/>
      <c r="D17" s="14"/>
      <c r="E17" s="16"/>
      <c r="F17" s="16"/>
      <c r="G17" s="17"/>
      <c r="H17" s="17"/>
      <c r="I17" s="19"/>
      <c r="J17" s="17"/>
      <c r="K17" s="20"/>
      <c r="L17" s="18"/>
    </row>
    <row r="18" spans="1:12" x14ac:dyDescent="0.35">
      <c r="A18" s="11"/>
      <c r="B18" s="12"/>
      <c r="C18" s="14"/>
      <c r="D18" s="14"/>
      <c r="E18" s="16"/>
      <c r="F18" s="16"/>
      <c r="G18" s="17"/>
      <c r="H18" s="17"/>
      <c r="I18" s="19"/>
      <c r="J18" s="17"/>
      <c r="K18" s="20"/>
      <c r="L18" s="18"/>
    </row>
    <row r="19" spans="1:12" x14ac:dyDescent="0.35">
      <c r="A19" s="11"/>
      <c r="B19" s="12"/>
      <c r="C19" s="14"/>
      <c r="D19" s="14"/>
      <c r="E19" s="16"/>
      <c r="F19" s="16"/>
      <c r="G19" s="17"/>
      <c r="H19" s="17"/>
      <c r="I19" s="19"/>
      <c r="J19" s="17"/>
      <c r="K19" s="20"/>
      <c r="L19" s="18"/>
    </row>
    <row r="20" spans="1:12" x14ac:dyDescent="0.35">
      <c r="A20" s="11"/>
      <c r="B20" s="16"/>
      <c r="C20" s="14"/>
      <c r="D20" s="31"/>
      <c r="E20" s="16"/>
      <c r="F20" s="16"/>
      <c r="G20" s="17"/>
      <c r="H20" s="17"/>
      <c r="I20" s="19"/>
      <c r="J20" s="17"/>
      <c r="K20" s="20"/>
      <c r="L20" s="18"/>
    </row>
    <row r="21" spans="1:12" x14ac:dyDescent="0.35">
      <c r="A21" s="11"/>
      <c r="B21" s="16"/>
      <c r="C21" s="14"/>
      <c r="D21" s="14"/>
      <c r="E21" s="16"/>
      <c r="F21" s="16"/>
      <c r="G21" s="17"/>
      <c r="H21" s="17"/>
      <c r="I21" s="19"/>
      <c r="J21" s="17"/>
      <c r="K21" s="20"/>
      <c r="L21" s="18"/>
    </row>
    <row r="22" spans="1:12" x14ac:dyDescent="0.35">
      <c r="A22" s="11"/>
      <c r="B22" s="16"/>
      <c r="C22" s="14"/>
      <c r="D22" s="14"/>
      <c r="E22" s="16"/>
      <c r="F22" s="16"/>
      <c r="G22" s="17"/>
      <c r="H22" s="17"/>
      <c r="I22" s="19"/>
      <c r="J22" s="17"/>
      <c r="K22" s="20"/>
      <c r="L22" s="18"/>
    </row>
    <row r="23" spans="1:12" x14ac:dyDescent="0.35">
      <c r="A23" s="11"/>
      <c r="B23" s="16"/>
      <c r="C23" s="14"/>
      <c r="D23" s="14"/>
      <c r="E23" s="16"/>
      <c r="F23" s="16"/>
      <c r="G23" s="17"/>
      <c r="H23" s="17"/>
      <c r="I23" s="19"/>
      <c r="J23" s="17"/>
      <c r="K23" s="20"/>
      <c r="L23" s="18"/>
    </row>
    <row r="24" spans="1:12" x14ac:dyDescent="0.35">
      <c r="A24" s="11"/>
      <c r="B24" s="16"/>
      <c r="C24" s="14"/>
      <c r="D24" s="14"/>
      <c r="E24" s="16"/>
      <c r="F24" s="16"/>
      <c r="G24" s="17"/>
      <c r="H24" s="17"/>
      <c r="I24" s="19"/>
      <c r="J24" s="17"/>
      <c r="K24" s="20"/>
      <c r="L24" s="18"/>
    </row>
    <row r="25" spans="1:12" x14ac:dyDescent="0.35">
      <c r="A25" s="11"/>
      <c r="B25" s="16"/>
      <c r="C25" s="14"/>
      <c r="D25" s="14"/>
      <c r="E25" s="16"/>
      <c r="F25" s="16"/>
      <c r="G25" s="17"/>
      <c r="H25" s="17"/>
      <c r="I25" s="19"/>
      <c r="J25" s="17"/>
      <c r="K25" s="20"/>
      <c r="L25" s="18"/>
    </row>
    <row r="26" spans="1:12" x14ac:dyDescent="0.35">
      <c r="A26" s="11"/>
      <c r="B26" s="16"/>
      <c r="C26" s="14"/>
      <c r="D26" s="14"/>
      <c r="E26" s="16"/>
      <c r="F26" s="16"/>
      <c r="G26" s="17"/>
      <c r="H26" s="17"/>
      <c r="I26" s="19"/>
      <c r="J26" s="17"/>
      <c r="K26" s="20"/>
      <c r="L26" s="18"/>
    </row>
    <row r="27" spans="1:12" x14ac:dyDescent="0.35">
      <c r="A27" s="11"/>
      <c r="B27" s="16"/>
      <c r="C27" s="40"/>
      <c r="D27" s="40"/>
      <c r="E27" s="16"/>
      <c r="F27" s="16"/>
      <c r="G27" s="17"/>
      <c r="H27" s="17"/>
      <c r="I27" s="19"/>
      <c r="J27" s="17"/>
      <c r="K27" s="20"/>
      <c r="L27" s="18"/>
    </row>
    <row r="28" spans="1:12" x14ac:dyDescent="0.35">
      <c r="A28" s="11"/>
      <c r="B28" s="16"/>
      <c r="C28" s="40"/>
      <c r="D28" s="40"/>
      <c r="E28" s="40"/>
      <c r="F28" s="40"/>
      <c r="G28" s="40"/>
      <c r="H28" s="40"/>
      <c r="I28" s="19"/>
      <c r="J28" s="17"/>
      <c r="K28" s="20"/>
      <c r="L28" s="18"/>
    </row>
    <row r="29" spans="1:12" x14ac:dyDescent="0.35">
      <c r="A29" s="11"/>
      <c r="B29" s="12"/>
      <c r="C29" s="14"/>
      <c r="D29" s="14"/>
      <c r="E29" s="16"/>
      <c r="F29" s="16"/>
      <c r="G29" s="17"/>
      <c r="H29" s="17"/>
      <c r="I29" s="19"/>
      <c r="J29" s="17"/>
      <c r="K29" s="20"/>
      <c r="L29" s="18"/>
    </row>
    <row r="30" spans="1:12" x14ac:dyDescent="0.35">
      <c r="A30" s="11"/>
      <c r="B30" s="12"/>
      <c r="C30" s="14"/>
      <c r="D30" s="14"/>
      <c r="E30" s="16"/>
      <c r="F30" s="16"/>
      <c r="G30" s="17"/>
      <c r="H30" s="17"/>
      <c r="I30" s="19"/>
      <c r="J30" s="17"/>
      <c r="K30" s="20"/>
      <c r="L30" s="18"/>
    </row>
    <row r="31" spans="1:12" x14ac:dyDescent="0.35">
      <c r="A31" s="11"/>
      <c r="B31" s="12"/>
      <c r="C31" s="14"/>
      <c r="D31" s="14"/>
      <c r="E31" s="16"/>
      <c r="F31" s="16"/>
      <c r="G31" s="17"/>
      <c r="H31" s="17"/>
      <c r="I31" s="19"/>
      <c r="J31" s="17"/>
      <c r="K31" s="20"/>
      <c r="L31" s="18"/>
    </row>
    <row r="32" spans="1:12" x14ac:dyDescent="0.35">
      <c r="A32" s="11"/>
      <c r="B32" s="12"/>
      <c r="C32" s="14"/>
      <c r="D32" s="14"/>
      <c r="E32" s="16"/>
      <c r="F32" s="16"/>
      <c r="G32" s="17"/>
      <c r="H32" s="17"/>
      <c r="I32" s="19"/>
      <c r="J32" s="17"/>
      <c r="K32" s="20"/>
      <c r="L32" s="18"/>
    </row>
    <row r="33" spans="1:12" x14ac:dyDescent="0.35">
      <c r="A33" s="11"/>
      <c r="B33" s="12"/>
      <c r="C33" s="14"/>
      <c r="D33" s="14"/>
      <c r="E33" s="16"/>
      <c r="F33" s="16"/>
      <c r="G33" s="17"/>
      <c r="H33" s="17"/>
      <c r="I33" s="19"/>
      <c r="J33" s="17"/>
      <c r="K33" s="20"/>
      <c r="L33" s="18"/>
    </row>
    <row r="34" spans="1:12" x14ac:dyDescent="0.35">
      <c r="A34" s="11"/>
      <c r="B34" s="16"/>
      <c r="C34" s="14"/>
      <c r="D34" s="14"/>
      <c r="E34" s="16"/>
      <c r="F34" s="16"/>
      <c r="G34" s="17"/>
      <c r="H34" s="17"/>
      <c r="I34" s="19"/>
      <c r="J34" s="17"/>
      <c r="K34" s="20"/>
      <c r="L34" s="18"/>
    </row>
    <row r="35" spans="1:12" x14ac:dyDescent="0.35">
      <c r="A35" s="11"/>
      <c r="B35" s="16"/>
      <c r="C35" s="14"/>
      <c r="D35" s="14"/>
      <c r="E35" s="16"/>
      <c r="F35" s="16"/>
      <c r="G35" s="17"/>
      <c r="H35" s="17"/>
      <c r="I35" s="19"/>
      <c r="J35" s="17"/>
      <c r="K35" s="20"/>
      <c r="L35" s="18"/>
    </row>
    <row r="36" spans="1:12" x14ac:dyDescent="0.35">
      <c r="A36" s="11"/>
      <c r="B36" s="16"/>
      <c r="C36" s="14"/>
      <c r="D36" s="14"/>
      <c r="E36" s="16"/>
      <c r="F36" s="16"/>
      <c r="G36" s="17"/>
      <c r="H36" s="17"/>
      <c r="I36" s="19"/>
      <c r="J36" s="17"/>
      <c r="K36" s="20"/>
      <c r="L36" s="18"/>
    </row>
    <row r="37" spans="1:12" x14ac:dyDescent="0.35">
      <c r="A37" s="11"/>
      <c r="B37" s="16"/>
      <c r="C37" s="14"/>
      <c r="D37" s="14"/>
      <c r="E37" s="16"/>
      <c r="F37" s="16"/>
      <c r="G37" s="17"/>
      <c r="H37" s="17"/>
      <c r="I37" s="19"/>
      <c r="J37" s="17"/>
      <c r="K37" s="20"/>
      <c r="L37" s="18"/>
    </row>
    <row r="38" spans="1:12" x14ac:dyDescent="0.35">
      <c r="A38" s="11"/>
      <c r="B38" s="16"/>
      <c r="C38" s="14"/>
      <c r="D38" s="14"/>
      <c r="E38" s="16"/>
      <c r="F38" s="16"/>
      <c r="G38" s="17"/>
      <c r="H38" s="17"/>
      <c r="I38" s="19"/>
      <c r="J38" s="17"/>
      <c r="K38" s="20"/>
      <c r="L38" s="18"/>
    </row>
    <row r="39" spans="1:12" x14ac:dyDescent="0.35">
      <c r="A39" s="11"/>
      <c r="B39" s="16"/>
      <c r="C39" s="14"/>
      <c r="D39" s="14"/>
      <c r="E39" s="16"/>
      <c r="F39" s="16"/>
      <c r="G39" s="17"/>
      <c r="H39" s="17"/>
      <c r="I39" s="19"/>
      <c r="J39" s="17"/>
      <c r="K39" s="20"/>
      <c r="L39" s="18"/>
    </row>
    <row r="40" spans="1:12" x14ac:dyDescent="0.35">
      <c r="A40" s="11"/>
      <c r="B40" s="16"/>
      <c r="C40" s="14"/>
      <c r="D40" s="14"/>
      <c r="E40" s="16"/>
      <c r="F40" s="16"/>
      <c r="G40" s="17"/>
      <c r="H40" s="17"/>
      <c r="I40" s="19"/>
      <c r="J40" s="17"/>
      <c r="K40" s="20"/>
      <c r="L40" s="18"/>
    </row>
    <row r="41" spans="1:12" x14ac:dyDescent="0.35">
      <c r="A41" s="11"/>
      <c r="B41" s="12"/>
      <c r="C41" s="14"/>
      <c r="D41" s="14"/>
      <c r="E41" s="16"/>
      <c r="F41" s="16"/>
      <c r="G41" s="17"/>
      <c r="H41" s="17"/>
      <c r="I41" s="19"/>
      <c r="J41" s="17"/>
      <c r="K41" s="20"/>
      <c r="L41" s="18"/>
    </row>
    <row r="42" spans="1:12" x14ac:dyDescent="0.35">
      <c r="A42" s="11"/>
      <c r="B42" s="18"/>
      <c r="C42" s="14"/>
      <c r="D42" s="14"/>
      <c r="E42" s="16"/>
      <c r="F42" s="18"/>
      <c r="G42" s="17"/>
      <c r="H42" s="17"/>
      <c r="I42" s="19"/>
      <c r="J42" s="17"/>
      <c r="K42" s="20"/>
      <c r="L42" s="18"/>
    </row>
    <row r="43" spans="1:12" x14ac:dyDescent="0.35">
      <c r="A43" s="11"/>
      <c r="B43" s="16"/>
      <c r="C43" s="14"/>
      <c r="D43" s="14"/>
      <c r="E43" s="16"/>
      <c r="F43" s="16"/>
      <c r="G43" s="17"/>
      <c r="H43" s="17"/>
      <c r="I43" s="19"/>
      <c r="J43" s="17"/>
      <c r="K43" s="20"/>
      <c r="L43" s="18"/>
    </row>
    <row r="44" spans="1:12" x14ac:dyDescent="0.35">
      <c r="A44" s="11"/>
      <c r="B44" s="16"/>
      <c r="C44" s="14"/>
      <c r="D44" s="14"/>
      <c r="E44" s="16"/>
      <c r="F44" s="16"/>
      <c r="G44" s="17"/>
      <c r="H44" s="17"/>
      <c r="I44" s="19"/>
      <c r="J44" s="17"/>
      <c r="K44" s="20"/>
      <c r="L44" s="18"/>
    </row>
    <row r="45" spans="1:12" x14ac:dyDescent="0.35">
      <c r="A45" s="11"/>
      <c r="B45" s="37"/>
      <c r="C45" s="14"/>
      <c r="D45" s="31"/>
      <c r="E45" s="16"/>
      <c r="F45" s="16"/>
      <c r="G45" s="17"/>
      <c r="H45" s="17"/>
      <c r="I45" s="19"/>
      <c r="J45" s="17"/>
      <c r="K45" s="21"/>
      <c r="L45" s="18"/>
    </row>
    <row r="46" spans="1:12" x14ac:dyDescent="0.35">
      <c r="A46" s="11"/>
      <c r="B46" s="12"/>
      <c r="C46" s="14"/>
      <c r="D46" s="14"/>
      <c r="E46" s="16"/>
      <c r="F46" s="16"/>
      <c r="G46" s="17"/>
      <c r="H46" s="17"/>
      <c r="I46" s="19"/>
      <c r="J46" s="17"/>
      <c r="K46" s="20"/>
      <c r="L46" s="18"/>
    </row>
    <row r="47" spans="1:12" x14ac:dyDescent="0.35">
      <c r="A47" s="11"/>
      <c r="B47" s="12"/>
      <c r="C47" s="14"/>
      <c r="D47" s="14"/>
      <c r="E47" s="16"/>
      <c r="F47" s="16"/>
      <c r="G47" s="17"/>
      <c r="H47" s="17"/>
      <c r="I47" s="19"/>
      <c r="J47" s="17"/>
      <c r="K47" s="20"/>
      <c r="L47" s="18"/>
    </row>
    <row r="48" spans="1:12" x14ac:dyDescent="0.35">
      <c r="A48" s="11"/>
      <c r="B48" s="12"/>
      <c r="C48" s="14"/>
      <c r="D48" s="14"/>
      <c r="E48" s="16"/>
      <c r="F48" s="16"/>
      <c r="G48" s="17"/>
      <c r="H48" s="17"/>
      <c r="I48" s="19"/>
      <c r="J48" s="17"/>
      <c r="K48" s="20"/>
      <c r="L48" s="18"/>
    </row>
    <row r="49" spans="1:12" x14ac:dyDescent="0.35">
      <c r="A49" s="11"/>
      <c r="B49" s="12"/>
      <c r="C49" s="14"/>
      <c r="D49" s="14"/>
      <c r="E49" s="16"/>
      <c r="F49" s="16"/>
      <c r="G49" s="17"/>
      <c r="H49" s="17"/>
      <c r="I49" s="19"/>
      <c r="J49" s="17"/>
      <c r="K49" s="20"/>
      <c r="L49" s="18"/>
    </row>
    <row r="50" spans="1:12" x14ac:dyDescent="0.35">
      <c r="A50" s="11"/>
      <c r="B50" s="12"/>
      <c r="C50" s="14"/>
      <c r="D50" s="14"/>
      <c r="E50" s="16"/>
      <c r="F50" s="16"/>
      <c r="G50" s="17"/>
      <c r="H50" s="17"/>
      <c r="I50" s="19"/>
      <c r="J50" s="17"/>
      <c r="K50" s="20"/>
      <c r="L50" s="18"/>
    </row>
    <row r="51" spans="1:12" x14ac:dyDescent="0.35">
      <c r="A51" s="11"/>
      <c r="B51" s="12"/>
      <c r="C51" s="14"/>
      <c r="D51" s="14"/>
      <c r="E51" s="16"/>
      <c r="F51" s="16"/>
      <c r="G51" s="17"/>
      <c r="H51" s="17"/>
      <c r="I51" s="19"/>
      <c r="J51" s="17"/>
      <c r="K51" s="20"/>
      <c r="L51" s="18"/>
    </row>
    <row r="52" spans="1:12" x14ac:dyDescent="0.35">
      <c r="A52" s="11"/>
      <c r="B52" s="12"/>
      <c r="C52" s="14"/>
      <c r="D52" s="14"/>
      <c r="E52" s="16"/>
      <c r="F52" s="16"/>
      <c r="G52" s="17"/>
      <c r="H52" s="17"/>
      <c r="I52" s="19"/>
      <c r="J52" s="17"/>
      <c r="K52" s="20"/>
      <c r="L52" s="18"/>
    </row>
    <row r="53" spans="1:12" ht="18.5" x14ac:dyDescent="0.45">
      <c r="A53" s="44" t="s">
        <v>47</v>
      </c>
      <c r="B53" s="45"/>
      <c r="C53" s="45"/>
      <c r="D53" s="45"/>
      <c r="E53" s="45"/>
      <c r="F53" s="45"/>
      <c r="G53" s="45"/>
      <c r="H53" s="46"/>
      <c r="I53" s="22">
        <f>SUM(I4:I52)</f>
        <v>623300</v>
      </c>
      <c r="J53" s="8"/>
      <c r="K53" s="8"/>
      <c r="L53" s="9"/>
    </row>
    <row r="70" spans="8:8" x14ac:dyDescent="0.35">
      <c r="H70" s="23"/>
    </row>
  </sheetData>
  <autoFilter ref="B2:L53"/>
  <mergeCells count="2">
    <mergeCell ref="A1:L1"/>
    <mergeCell ref="A53:H53"/>
  </mergeCells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May-25</vt:lpstr>
      <vt:lpstr>June-25</vt:lpstr>
      <vt:lpstr>JULY-25 </vt:lpstr>
      <vt:lpstr>AUG-25</vt:lpstr>
      <vt:lpstr>SEPT-25</vt:lpstr>
      <vt:lpstr>'AUG-25'!Print_Area</vt:lpstr>
      <vt:lpstr>'JULY-25 '!Print_Area</vt:lpstr>
      <vt:lpstr>'June-25'!Print_Area</vt:lpstr>
      <vt:lpstr>'SEPT-25'!Print_Area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2026-01-30T04:52:53Z</dcterms:modified>
</cp:coreProperties>
</file>