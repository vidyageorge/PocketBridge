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1"/>
  </bookViews>
  <sheets>
    <sheet name="MAY-25 " sheetId="2" r:id="rId1"/>
    <sheet name="JUNE-25" sheetId="1" r:id="rId2"/>
    <sheet name="JUNE-25 " sheetId="3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D10" i="1" l="1"/>
  <c r="M7" i="1"/>
  <c r="M8" i="1"/>
  <c r="M7" i="3" l="1"/>
  <c r="M8" i="3"/>
  <c r="K27" i="3" l="1"/>
  <c r="I27" i="3"/>
  <c r="H27" i="3"/>
  <c r="G27" i="3"/>
  <c r="E27" i="3"/>
  <c r="D27" i="3"/>
  <c r="C27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9" i="3"/>
  <c r="M6" i="3"/>
  <c r="M5" i="3"/>
  <c r="M13" i="2" l="1"/>
  <c r="C27" i="2"/>
  <c r="M7" i="2" l="1"/>
  <c r="M8" i="2"/>
  <c r="K27" i="2"/>
  <c r="I27" i="2"/>
  <c r="H27" i="2"/>
  <c r="G27" i="2"/>
  <c r="E27" i="2"/>
  <c r="D27" i="2"/>
  <c r="M25" i="2"/>
  <c r="M24" i="2"/>
  <c r="M23" i="2"/>
  <c r="M22" i="2"/>
  <c r="M21" i="2"/>
  <c r="M20" i="2"/>
  <c r="M19" i="2"/>
  <c r="M18" i="2"/>
  <c r="M17" i="2"/>
  <c r="M16" i="2"/>
  <c r="M15" i="2"/>
  <c r="M14" i="2"/>
  <c r="M12" i="2"/>
  <c r="M11" i="2"/>
  <c r="M10" i="2"/>
  <c r="M9" i="2"/>
  <c r="M6" i="2"/>
  <c r="M5" i="2"/>
  <c r="D27" i="1"/>
  <c r="M5" i="1"/>
  <c r="M23" i="1"/>
  <c r="M28" i="2" l="1"/>
  <c r="E27" i="1" l="1"/>
  <c r="G27" i="1"/>
  <c r="C27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4" i="1"/>
  <c r="M25" i="1"/>
  <c r="M11" i="1"/>
  <c r="H27" i="1"/>
  <c r="I27" i="1"/>
  <c r="K27" i="1"/>
  <c r="M6" i="1"/>
  <c r="M28" i="1" l="1"/>
  <c r="E10" i="3"/>
  <c r="M10" i="3" s="1"/>
  <c r="M28" i="3" s="1"/>
</calcChain>
</file>

<file path=xl/sharedStrings.xml><?xml version="1.0" encoding="utf-8"?>
<sst xmlns="http://schemas.openxmlformats.org/spreadsheetml/2006/main" count="112" uniqueCount="41">
  <si>
    <t>SNO</t>
  </si>
  <si>
    <t>DESCRIPCTION</t>
  </si>
  <si>
    <t>INCOME</t>
  </si>
  <si>
    <t>P-02 SABARISH SWAMINATHAN</t>
  </si>
  <si>
    <t>P-03 MURUGAN ARUMUGAM</t>
  </si>
  <si>
    <t>Fuel</t>
  </si>
  <si>
    <t>Food</t>
  </si>
  <si>
    <t>Electricity</t>
  </si>
  <si>
    <t>Telephone / Internet</t>
  </si>
  <si>
    <t>Marketing</t>
  </si>
  <si>
    <t>Salary</t>
  </si>
  <si>
    <t>Others</t>
  </si>
  <si>
    <t>P-01</t>
  </si>
  <si>
    <t>P-02</t>
  </si>
  <si>
    <t>P-03</t>
  </si>
  <si>
    <t xml:space="preserve">Material Expanse </t>
  </si>
  <si>
    <t>Personal Advance's</t>
  </si>
  <si>
    <t>Rent &amp; Maintenace</t>
  </si>
  <si>
    <t>EMPLOYEE EXPANSE</t>
  </si>
  <si>
    <t>PROJECTS EXPANSE</t>
  </si>
  <si>
    <t>VINOTH</t>
  </si>
  <si>
    <t>ROCHELLE</t>
  </si>
  <si>
    <t>DOMNIC</t>
  </si>
  <si>
    <t>YUVIRAJ</t>
  </si>
  <si>
    <t>PIGGOT</t>
  </si>
  <si>
    <t>bonus-insentive</t>
  </si>
  <si>
    <t>INDUVIDUAL TOTAL</t>
  </si>
  <si>
    <t>CUMULATIVE TOTAL</t>
  </si>
  <si>
    <t xml:space="preserve">P-01 ANANTHARAMAN </t>
  </si>
  <si>
    <t>CAR EMI</t>
  </si>
  <si>
    <t>Maintenance-jawa</t>
  </si>
  <si>
    <t>labor Contract Payment - Civil</t>
  </si>
  <si>
    <t>labor Contract Payment - Electrical</t>
  </si>
  <si>
    <t>COMPANY EXPANSE</t>
  </si>
  <si>
    <t>Running Balance C/F JULY-2025</t>
  </si>
  <si>
    <t>(Opening Balance) B/F FROM MAY</t>
  </si>
  <si>
    <t>JUNE</t>
  </si>
  <si>
    <t>MAY</t>
  </si>
  <si>
    <t>(Opening Balance) B/F FROM APRIL</t>
  </si>
  <si>
    <t>Running Balance C/F MAY-2025</t>
  </si>
  <si>
    <t xml:space="preserve">Car Insuranace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</si>
</sst>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3D5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2" fillId="0" borderId="6" xfId="0" applyFont="1" applyBorder="1"/>
    <xf numFmtId="43" fontId="0" fillId="0" borderId="6" xfId="1" applyFont="1" applyBorder="1"/>
    <xf numFmtId="0" fontId="0" fillId="0" borderId="6" xfId="0" applyBorder="1"/>
    <xf numFmtId="43" fontId="3" fillId="0" borderId="7" xfId="0" applyNumberFormat="1" applyFont="1" applyBorder="1"/>
    <xf numFmtId="43" fontId="4" fillId="0" borderId="7" xfId="0" applyNumberFormat="1" applyFont="1" applyBorder="1"/>
    <xf numFmtId="0" fontId="0" fillId="0" borderId="6" xfId="0" applyFill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43" fontId="5" fillId="0" borderId="14" xfId="0" applyNumberFormat="1" applyFont="1" applyBorder="1"/>
    <xf numFmtId="0" fontId="2" fillId="0" borderId="11" xfId="0" applyFont="1" applyBorder="1" applyAlignment="1">
      <alignment horizontal="center"/>
    </xf>
    <xf numFmtId="43" fontId="2" fillId="0" borderId="11" xfId="0" applyNumberFormat="1" applyFont="1" applyBorder="1"/>
    <xf numFmtId="0" fontId="2" fillId="0" borderId="11" xfId="0" applyFont="1" applyBorder="1"/>
    <xf numFmtId="0" fontId="0" fillId="0" borderId="11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43" fontId="7" fillId="0" borderId="6" xfId="1" applyFont="1" applyBorder="1"/>
    <xf numFmtId="0" fontId="7" fillId="0" borderId="6" xfId="0" applyFont="1" applyBorder="1"/>
    <xf numFmtId="0" fontId="7" fillId="0" borderId="9" xfId="0" applyFont="1" applyBorder="1"/>
    <xf numFmtId="43" fontId="3" fillId="0" borderId="11" xfId="0" applyNumberFormat="1" applyFont="1" applyBorder="1"/>
    <xf numFmtId="43" fontId="3" fillId="0" borderId="6" xfId="1" applyFont="1" applyBorder="1"/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6" fillId="2" borderId="18" xfId="0" applyNumberFormat="1" applyFont="1" applyFill="1" applyBorder="1" applyAlignment="1">
      <alignment horizontal="center" vertical="center"/>
    </xf>
    <xf numFmtId="0" fontId="6" fillId="2" borderId="17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ixty%20Cubits%20Pvt%20Ltd\02-Accounts\10-Monthly%20Accounts\02-Procuremen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-25"/>
      <sheetName val="June-25"/>
      <sheetName val="JULY-25 "/>
    </sheetNames>
    <sheetDataSet>
      <sheetData sheetId="0"/>
      <sheetData sheetId="1">
        <row r="41">
          <cell r="I41">
            <v>2007298</v>
          </cell>
        </row>
      </sheetData>
      <sheetData sheetId="2">
        <row r="57">
          <cell r="I57">
            <v>1436977.32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5" zoomScaleNormal="85" workbookViewId="0">
      <pane ySplit="3" topLeftCell="A4" activePane="bottomLeft" state="frozen"/>
      <selection pane="bottomLeft" activeCell="E17" sqref="E17"/>
    </sheetView>
  </sheetViews>
  <sheetFormatPr defaultRowHeight="14.5" x14ac:dyDescent="0.35"/>
  <cols>
    <col min="1" max="1" width="4.54296875" style="1" customWidth="1"/>
    <col min="2" max="2" width="34.7265625" customWidth="1"/>
    <col min="3" max="12" width="13.26953125" customWidth="1"/>
    <col min="13" max="14" width="14.1796875" customWidth="1"/>
  </cols>
  <sheetData>
    <row r="1" spans="1:13" ht="21" x14ac:dyDescent="0.35">
      <c r="A1" s="30" t="s">
        <v>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4.5" customHeight="1" x14ac:dyDescent="0.35">
      <c r="A2" s="32" t="s">
        <v>0</v>
      </c>
      <c r="B2" s="32" t="s">
        <v>1</v>
      </c>
      <c r="C2" s="32" t="s">
        <v>2</v>
      </c>
      <c r="D2" s="34" t="s">
        <v>33</v>
      </c>
      <c r="E2" s="36" t="s">
        <v>19</v>
      </c>
      <c r="F2" s="37"/>
      <c r="G2" s="38"/>
      <c r="H2" s="36" t="s">
        <v>18</v>
      </c>
      <c r="I2" s="37"/>
      <c r="J2" s="37"/>
      <c r="K2" s="37"/>
      <c r="L2" s="38"/>
      <c r="M2" s="34" t="s">
        <v>27</v>
      </c>
    </row>
    <row r="3" spans="1:13" x14ac:dyDescent="0.35">
      <c r="A3" s="33"/>
      <c r="B3" s="33"/>
      <c r="C3" s="33"/>
      <c r="D3" s="35"/>
      <c r="E3" s="2" t="s">
        <v>12</v>
      </c>
      <c r="F3" s="2" t="s">
        <v>13</v>
      </c>
      <c r="G3" s="2" t="s">
        <v>14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35"/>
    </row>
    <row r="4" spans="1:13" x14ac:dyDescent="0.3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1:13" x14ac:dyDescent="0.35">
      <c r="A5" s="6"/>
      <c r="B5" s="7" t="s">
        <v>38</v>
      </c>
      <c r="C5" s="23"/>
      <c r="D5" s="8"/>
      <c r="E5" s="9"/>
      <c r="F5" s="9"/>
      <c r="G5" s="9"/>
      <c r="H5" s="9"/>
      <c r="I5" s="9"/>
      <c r="J5" s="9"/>
      <c r="K5" s="9"/>
      <c r="L5" s="9"/>
      <c r="M5" s="10">
        <f>SUM(C5:L5)</f>
        <v>0</v>
      </c>
    </row>
    <row r="6" spans="1:13" x14ac:dyDescent="0.35">
      <c r="A6" s="6">
        <v>1</v>
      </c>
      <c r="B6" s="9" t="s">
        <v>28</v>
      </c>
      <c r="C6" s="27">
        <v>2000000</v>
      </c>
      <c r="D6" s="8"/>
      <c r="E6" s="8"/>
      <c r="F6" s="8"/>
      <c r="G6" s="8"/>
      <c r="H6" s="8"/>
      <c r="I6" s="8"/>
      <c r="J6" s="8"/>
      <c r="K6" s="8"/>
      <c r="L6" s="8"/>
      <c r="M6" s="10">
        <f>SUM(C6:L6)</f>
        <v>2000000</v>
      </c>
    </row>
    <row r="7" spans="1:13" x14ac:dyDescent="0.35">
      <c r="A7" s="6">
        <v>2</v>
      </c>
      <c r="B7" s="9" t="s">
        <v>3</v>
      </c>
      <c r="C7" s="27">
        <v>773299</v>
      </c>
      <c r="D7" s="8"/>
      <c r="E7" s="8"/>
      <c r="F7" s="8"/>
      <c r="G7" s="8"/>
      <c r="H7" s="8"/>
      <c r="I7" s="8"/>
      <c r="J7" s="8"/>
      <c r="K7" s="8"/>
      <c r="L7" s="8"/>
      <c r="M7" s="10">
        <f t="shared" ref="M7:M8" si="0">SUM(C7:L7)</f>
        <v>773299</v>
      </c>
    </row>
    <row r="8" spans="1:13" x14ac:dyDescent="0.35">
      <c r="A8" s="6">
        <v>3</v>
      </c>
      <c r="B8" s="9" t="s">
        <v>4</v>
      </c>
      <c r="C8" s="27">
        <v>319250</v>
      </c>
      <c r="D8" s="8"/>
      <c r="E8" s="8"/>
      <c r="F8" s="8"/>
      <c r="G8" s="8"/>
      <c r="H8" s="8"/>
      <c r="I8" s="8"/>
      <c r="J8" s="8"/>
      <c r="K8" s="8"/>
      <c r="L8" s="8"/>
      <c r="M8" s="10">
        <f t="shared" si="0"/>
        <v>319250</v>
      </c>
    </row>
    <row r="9" spans="1:13" x14ac:dyDescent="0.35">
      <c r="A9" s="6"/>
      <c r="B9" s="9"/>
      <c r="C9" s="23"/>
      <c r="D9" s="8"/>
      <c r="E9" s="8"/>
      <c r="F9" s="8"/>
      <c r="G9" s="8"/>
      <c r="H9" s="8"/>
      <c r="I9" s="8"/>
      <c r="J9" s="8"/>
      <c r="K9" s="8"/>
      <c r="L9" s="8"/>
      <c r="M9" s="11">
        <f t="shared" ref="M9:M10" si="1">-SUM(C9:L9)</f>
        <v>0</v>
      </c>
    </row>
    <row r="10" spans="1:13" x14ac:dyDescent="0.35">
      <c r="A10" s="6"/>
      <c r="B10" s="9" t="s">
        <v>15</v>
      </c>
      <c r="C10" s="23"/>
      <c r="D10" s="8"/>
      <c r="E10" s="8"/>
      <c r="F10" s="8"/>
      <c r="G10" s="8"/>
      <c r="H10" s="8"/>
      <c r="I10" s="8"/>
      <c r="J10" s="8"/>
      <c r="K10" s="8"/>
      <c r="L10" s="8"/>
      <c r="M10" s="11">
        <f t="shared" si="1"/>
        <v>0</v>
      </c>
    </row>
    <row r="11" spans="1:13" x14ac:dyDescent="0.35">
      <c r="A11" s="6"/>
      <c r="B11" s="9" t="s">
        <v>31</v>
      </c>
      <c r="C11" s="23"/>
      <c r="D11" s="8"/>
      <c r="E11" s="8">
        <v>900000</v>
      </c>
      <c r="F11" s="8"/>
      <c r="G11" s="8"/>
      <c r="H11" s="8"/>
      <c r="I11" s="8"/>
      <c r="J11" s="8"/>
      <c r="K11" s="8"/>
      <c r="L11" s="8"/>
      <c r="M11" s="11">
        <f t="shared" ref="M11:M25" si="2">-SUM(C11:L11)</f>
        <v>-900000</v>
      </c>
    </row>
    <row r="12" spans="1:13" x14ac:dyDescent="0.35">
      <c r="A12" s="6"/>
      <c r="B12" s="9" t="s">
        <v>32</v>
      </c>
      <c r="C12" s="23"/>
      <c r="D12" s="8"/>
      <c r="E12" s="8">
        <v>20000</v>
      </c>
      <c r="F12" s="8">
        <v>20000</v>
      </c>
      <c r="G12" s="8"/>
      <c r="H12" s="8"/>
      <c r="I12" s="8"/>
      <c r="J12" s="8"/>
      <c r="K12" s="8"/>
      <c r="L12" s="8"/>
      <c r="M12" s="11">
        <f t="shared" si="2"/>
        <v>-40000</v>
      </c>
    </row>
    <row r="13" spans="1:13" x14ac:dyDescent="0.35">
      <c r="A13" s="6"/>
      <c r="B13" s="9" t="s">
        <v>10</v>
      </c>
      <c r="C13" s="23"/>
      <c r="D13" s="8"/>
      <c r="E13" s="8"/>
      <c r="F13" s="8"/>
      <c r="G13" s="8"/>
      <c r="H13" s="8">
        <v>50000</v>
      </c>
      <c r="I13" s="8">
        <v>50000</v>
      </c>
      <c r="J13" s="8">
        <v>30000</v>
      </c>
      <c r="K13" s="8">
        <v>33000</v>
      </c>
      <c r="L13" s="8"/>
      <c r="M13" s="11">
        <f>-SUM(C13:L13)</f>
        <v>-163000</v>
      </c>
    </row>
    <row r="14" spans="1:13" x14ac:dyDescent="0.35">
      <c r="A14" s="6"/>
      <c r="B14" s="9" t="s">
        <v>25</v>
      </c>
      <c r="C14" s="23"/>
      <c r="D14" s="8"/>
      <c r="E14" s="8"/>
      <c r="F14" s="8"/>
      <c r="G14" s="8"/>
      <c r="H14" s="8"/>
      <c r="I14" s="8"/>
      <c r="J14" s="8"/>
      <c r="K14" s="8">
        <v>5000</v>
      </c>
      <c r="L14" s="8"/>
      <c r="M14" s="11">
        <f t="shared" si="2"/>
        <v>-5000</v>
      </c>
    </row>
    <row r="15" spans="1:13" x14ac:dyDescent="0.35">
      <c r="A15" s="6"/>
      <c r="B15" s="9" t="s">
        <v>5</v>
      </c>
      <c r="C15" s="23"/>
      <c r="D15" s="8"/>
      <c r="E15" s="8"/>
      <c r="F15" s="8"/>
      <c r="G15" s="8"/>
      <c r="H15" s="8"/>
      <c r="I15" s="8"/>
      <c r="J15" s="8"/>
      <c r="K15" s="8"/>
      <c r="L15" s="8"/>
      <c r="M15" s="11">
        <f t="shared" si="2"/>
        <v>0</v>
      </c>
    </row>
    <row r="16" spans="1:13" x14ac:dyDescent="0.35">
      <c r="A16" s="6"/>
      <c r="B16" s="9" t="s">
        <v>6</v>
      </c>
      <c r="C16" s="23"/>
      <c r="D16" s="8"/>
      <c r="E16" s="8"/>
      <c r="F16" s="8"/>
      <c r="G16" s="8"/>
      <c r="H16" s="8"/>
      <c r="I16" s="8"/>
      <c r="J16" s="8"/>
      <c r="K16" s="8"/>
      <c r="L16" s="8"/>
      <c r="M16" s="11">
        <f t="shared" si="2"/>
        <v>0</v>
      </c>
    </row>
    <row r="17" spans="1:14" x14ac:dyDescent="0.35">
      <c r="A17" s="6"/>
      <c r="B17" s="9" t="s">
        <v>7</v>
      </c>
      <c r="C17" s="23"/>
      <c r="D17" s="8"/>
      <c r="E17" s="8"/>
      <c r="F17" s="8"/>
      <c r="G17" s="8"/>
      <c r="H17" s="8"/>
      <c r="I17" s="8"/>
      <c r="J17" s="8"/>
      <c r="K17" s="8"/>
      <c r="L17" s="8"/>
      <c r="M17" s="11">
        <f t="shared" si="2"/>
        <v>0</v>
      </c>
    </row>
    <row r="18" spans="1:14" x14ac:dyDescent="0.35">
      <c r="A18" s="6"/>
      <c r="B18" s="9" t="s">
        <v>8</v>
      </c>
      <c r="C18" s="23"/>
      <c r="D18" s="8"/>
      <c r="E18" s="8"/>
      <c r="F18" s="8"/>
      <c r="G18" s="8"/>
      <c r="H18" s="8"/>
      <c r="I18" s="8"/>
      <c r="J18" s="8"/>
      <c r="K18" s="8"/>
      <c r="L18" s="8"/>
      <c r="M18" s="11">
        <f t="shared" si="2"/>
        <v>0</v>
      </c>
    </row>
    <row r="19" spans="1:14" x14ac:dyDescent="0.35">
      <c r="A19" s="6"/>
      <c r="B19" s="9" t="s">
        <v>17</v>
      </c>
      <c r="C19" s="23"/>
      <c r="D19" s="8">
        <v>0</v>
      </c>
      <c r="E19" s="8"/>
      <c r="F19" s="8"/>
      <c r="G19" s="8"/>
      <c r="H19" s="8"/>
      <c r="I19" s="8"/>
      <c r="J19" s="8"/>
      <c r="K19" s="8"/>
      <c r="L19" s="8"/>
      <c r="M19" s="11">
        <f t="shared" si="2"/>
        <v>0</v>
      </c>
    </row>
    <row r="20" spans="1:14" x14ac:dyDescent="0.35">
      <c r="A20" s="6"/>
      <c r="B20" s="9" t="s">
        <v>9</v>
      </c>
      <c r="C20" s="23"/>
      <c r="D20" s="8"/>
      <c r="E20" s="8"/>
      <c r="F20" s="8"/>
      <c r="G20" s="8"/>
      <c r="H20" s="8"/>
      <c r="I20" s="8"/>
      <c r="J20" s="8"/>
      <c r="K20" s="8"/>
      <c r="L20" s="8"/>
      <c r="M20" s="11">
        <f t="shared" si="2"/>
        <v>0</v>
      </c>
    </row>
    <row r="21" spans="1:14" x14ac:dyDescent="0.35">
      <c r="A21" s="6"/>
      <c r="B21" s="12" t="s">
        <v>16</v>
      </c>
      <c r="C21" s="23"/>
      <c r="D21" s="8"/>
      <c r="E21" s="8"/>
      <c r="F21" s="8"/>
      <c r="G21" s="8"/>
      <c r="H21" s="8">
        <v>10000</v>
      </c>
      <c r="I21" s="8">
        <v>10000</v>
      </c>
      <c r="J21" s="8">
        <v>200000</v>
      </c>
      <c r="K21" s="8"/>
      <c r="L21" s="8"/>
      <c r="M21" s="11">
        <f t="shared" si="2"/>
        <v>-220000</v>
      </c>
    </row>
    <row r="22" spans="1:14" x14ac:dyDescent="0.35">
      <c r="A22" s="6"/>
      <c r="B22" s="9" t="s">
        <v>29</v>
      </c>
      <c r="C22" s="23"/>
      <c r="D22" s="8">
        <v>30613</v>
      </c>
      <c r="E22" s="8"/>
      <c r="F22" s="8"/>
      <c r="G22" s="8"/>
      <c r="H22" s="8"/>
      <c r="I22" s="8"/>
      <c r="J22" s="8"/>
      <c r="K22" s="8"/>
      <c r="L22" s="8"/>
      <c r="M22" s="11">
        <f t="shared" si="2"/>
        <v>-30613</v>
      </c>
    </row>
    <row r="23" spans="1:14" x14ac:dyDescent="0.35">
      <c r="A23" s="6"/>
      <c r="B23" s="9" t="s">
        <v>30</v>
      </c>
      <c r="C23" s="23"/>
      <c r="D23" s="8"/>
      <c r="E23" s="8"/>
      <c r="F23" s="8"/>
      <c r="G23" s="8"/>
      <c r="H23" s="8">
        <v>7543</v>
      </c>
      <c r="I23" s="8"/>
      <c r="J23" s="8"/>
      <c r="K23" s="8"/>
      <c r="L23" s="8"/>
      <c r="M23" s="11">
        <f t="shared" si="2"/>
        <v>-7543</v>
      </c>
    </row>
    <row r="24" spans="1:14" x14ac:dyDescent="0.35">
      <c r="A24" s="6"/>
      <c r="B24" s="9" t="s">
        <v>11</v>
      </c>
      <c r="C24" s="23"/>
      <c r="D24" s="8"/>
      <c r="E24" s="8"/>
      <c r="F24" s="8"/>
      <c r="G24" s="8"/>
      <c r="H24" s="8"/>
      <c r="I24" s="8"/>
      <c r="J24" s="8"/>
      <c r="K24" s="8"/>
      <c r="L24" s="8"/>
      <c r="M24" s="11">
        <f t="shared" si="2"/>
        <v>0</v>
      </c>
    </row>
    <row r="25" spans="1:14" x14ac:dyDescent="0.35">
      <c r="A25" s="6"/>
      <c r="B25" s="9"/>
      <c r="C25" s="24"/>
      <c r="D25" s="8"/>
      <c r="E25" s="9"/>
      <c r="F25" s="9"/>
      <c r="G25" s="9"/>
      <c r="H25" s="9"/>
      <c r="I25" s="9"/>
      <c r="J25" s="9"/>
      <c r="K25" s="9"/>
      <c r="L25" s="9"/>
      <c r="M25" s="11">
        <f t="shared" si="2"/>
        <v>0</v>
      </c>
    </row>
    <row r="26" spans="1:14" x14ac:dyDescent="0.35">
      <c r="A26" s="13"/>
      <c r="B26" s="14"/>
      <c r="C26" s="25"/>
      <c r="D26" s="25"/>
      <c r="E26" s="14"/>
      <c r="F26" s="14"/>
      <c r="G26" s="14"/>
      <c r="H26" s="14"/>
      <c r="I26" s="14"/>
      <c r="J26" s="14"/>
      <c r="K26" s="14"/>
      <c r="L26" s="14"/>
      <c r="M26" s="15"/>
    </row>
    <row r="27" spans="1:14" ht="15" thickBot="1" x14ac:dyDescent="0.4">
      <c r="A27" s="22"/>
      <c r="B27" s="17" t="s">
        <v>26</v>
      </c>
      <c r="C27" s="26">
        <f>SUM(C5:C26)</f>
        <v>3092549</v>
      </c>
      <c r="D27" s="26">
        <f>SUM(D10:D26)</f>
        <v>30613</v>
      </c>
      <c r="E27" s="18">
        <f>SUM(E11:E26)</f>
        <v>920000</v>
      </c>
      <c r="F27" s="19"/>
      <c r="G27" s="18">
        <f>SUM(G11:G26)</f>
        <v>0</v>
      </c>
      <c r="H27" s="18">
        <f>SUM(H6:H26)</f>
        <v>67543</v>
      </c>
      <c r="I27" s="18">
        <f>SUM(I6:I26)</f>
        <v>60000</v>
      </c>
      <c r="J27" s="19"/>
      <c r="K27" s="18">
        <f>SUM(K6:K26)</f>
        <v>38000</v>
      </c>
      <c r="L27" s="18"/>
      <c r="M27" s="20"/>
      <c r="N27" s="21"/>
    </row>
    <row r="28" spans="1:14" ht="19.5" customHeight="1" thickTop="1" thickBot="1" x14ac:dyDescent="0.4">
      <c r="A28" s="28" t="s">
        <v>39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6">
        <f>SUM(M5:M26)</f>
        <v>1726393</v>
      </c>
    </row>
  </sheetData>
  <mergeCells count="9">
    <mergeCell ref="A28:L28"/>
    <mergeCell ref="A1:M1"/>
    <mergeCell ref="A2:A3"/>
    <mergeCell ref="B2:B3"/>
    <mergeCell ref="C2:C3"/>
    <mergeCell ref="D2:D3"/>
    <mergeCell ref="E2:G2"/>
    <mergeCell ref="H2:L2"/>
    <mergeCell ref="M2:M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="85" zoomScaleNormal="85" workbookViewId="0">
      <pane ySplit="3" topLeftCell="A4" activePane="bottomLeft" state="frozen"/>
      <selection pane="bottomLeft" activeCell="K21" sqref="K21"/>
    </sheetView>
  </sheetViews>
  <sheetFormatPr defaultRowHeight="14.5" x14ac:dyDescent="0.35"/>
  <cols>
    <col min="1" max="1" width="4.54296875" style="1" customWidth="1"/>
    <col min="2" max="2" width="34.7265625" customWidth="1"/>
    <col min="3" max="12" width="13.26953125" customWidth="1"/>
    <col min="13" max="14" width="14.1796875" customWidth="1"/>
  </cols>
  <sheetData>
    <row r="1" spans="1:13" ht="21" x14ac:dyDescent="0.35">
      <c r="A1" s="30" t="s">
        <v>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4.5" customHeight="1" x14ac:dyDescent="0.35">
      <c r="A2" s="32" t="s">
        <v>0</v>
      </c>
      <c r="B2" s="32" t="s">
        <v>1</v>
      </c>
      <c r="C2" s="32" t="s">
        <v>2</v>
      </c>
      <c r="D2" s="34" t="s">
        <v>33</v>
      </c>
      <c r="E2" s="36" t="s">
        <v>19</v>
      </c>
      <c r="F2" s="37"/>
      <c r="G2" s="38"/>
      <c r="H2" s="36" t="s">
        <v>18</v>
      </c>
      <c r="I2" s="37"/>
      <c r="J2" s="37"/>
      <c r="K2" s="37"/>
      <c r="L2" s="38"/>
      <c r="M2" s="34" t="s">
        <v>27</v>
      </c>
    </row>
    <row r="3" spans="1:13" x14ac:dyDescent="0.35">
      <c r="A3" s="33"/>
      <c r="B3" s="33"/>
      <c r="C3" s="33"/>
      <c r="D3" s="35"/>
      <c r="E3" s="2" t="s">
        <v>12</v>
      </c>
      <c r="F3" s="2" t="s">
        <v>13</v>
      </c>
      <c r="G3" s="2" t="s">
        <v>14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35"/>
    </row>
    <row r="4" spans="1:13" x14ac:dyDescent="0.3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1:13" x14ac:dyDescent="0.35">
      <c r="A5" s="6"/>
      <c r="B5" s="7" t="s">
        <v>35</v>
      </c>
      <c r="C5" s="27">
        <v>800000</v>
      </c>
      <c r="D5" s="8"/>
      <c r="E5" s="9"/>
      <c r="F5" s="9"/>
      <c r="G5" s="9"/>
      <c r="H5" s="9"/>
      <c r="I5" s="9"/>
      <c r="J5" s="9"/>
      <c r="K5" s="9"/>
      <c r="L5" s="9"/>
      <c r="M5" s="10">
        <f>SUM(C5:L5)</f>
        <v>800000</v>
      </c>
    </row>
    <row r="6" spans="1:13" x14ac:dyDescent="0.35">
      <c r="A6" s="6">
        <v>1</v>
      </c>
      <c r="B6" s="9" t="s">
        <v>28</v>
      </c>
      <c r="C6" s="27">
        <v>1000000</v>
      </c>
      <c r="D6" s="8"/>
      <c r="E6" s="8"/>
      <c r="F6" s="8"/>
      <c r="G6" s="8"/>
      <c r="H6" s="8"/>
      <c r="I6" s="8"/>
      <c r="J6" s="8"/>
      <c r="K6" s="8"/>
      <c r="L6" s="8"/>
      <c r="M6" s="10">
        <f>SUM(C6:L6)</f>
        <v>1000000</v>
      </c>
    </row>
    <row r="7" spans="1:13" x14ac:dyDescent="0.35">
      <c r="A7" s="6">
        <v>2</v>
      </c>
      <c r="B7" s="9" t="s">
        <v>3</v>
      </c>
      <c r="C7" s="27">
        <v>400000</v>
      </c>
      <c r="D7" s="8"/>
      <c r="E7" s="8"/>
      <c r="F7" s="8"/>
      <c r="G7" s="8"/>
      <c r="H7" s="8"/>
      <c r="I7" s="8"/>
      <c r="J7" s="8"/>
      <c r="K7" s="8"/>
      <c r="L7" s="8"/>
      <c r="M7" s="10">
        <f t="shared" ref="M7:M8" si="0">SUM(C7:L7)</f>
        <v>400000</v>
      </c>
    </row>
    <row r="8" spans="1:13" x14ac:dyDescent="0.35">
      <c r="A8" s="6">
        <v>3</v>
      </c>
      <c r="B8" s="9" t="s">
        <v>4</v>
      </c>
      <c r="C8" s="27">
        <v>638470</v>
      </c>
      <c r="D8" s="8"/>
      <c r="E8" s="8"/>
      <c r="F8" s="8"/>
      <c r="G8" s="8"/>
      <c r="H8" s="8"/>
      <c r="I8" s="8"/>
      <c r="J8" s="8"/>
      <c r="K8" s="8"/>
      <c r="L8" s="8"/>
      <c r="M8" s="10">
        <f t="shared" si="0"/>
        <v>638470</v>
      </c>
    </row>
    <row r="9" spans="1:13" x14ac:dyDescent="0.35">
      <c r="A9" s="6"/>
      <c r="B9" s="9"/>
      <c r="C9" s="27"/>
      <c r="D9" s="8"/>
      <c r="E9" s="8"/>
      <c r="F9" s="8"/>
      <c r="G9" s="8"/>
      <c r="H9" s="8"/>
      <c r="I9" s="8"/>
      <c r="J9" s="8"/>
      <c r="K9" s="8"/>
      <c r="L9" s="8"/>
      <c r="M9" s="11">
        <f t="shared" ref="M9:M10" si="1">-SUM(C9:L9)</f>
        <v>0</v>
      </c>
    </row>
    <row r="10" spans="1:13" x14ac:dyDescent="0.35">
      <c r="A10" s="6"/>
      <c r="B10" s="9" t="s">
        <v>15</v>
      </c>
      <c r="C10" s="23"/>
      <c r="D10" s="8">
        <f>'[1]June-25'!$I$41-845000</f>
        <v>1162298</v>
      </c>
      <c r="E10" s="8"/>
      <c r="F10" s="8"/>
      <c r="G10" s="8"/>
      <c r="H10" s="8"/>
      <c r="I10" s="8"/>
      <c r="J10" s="8"/>
      <c r="K10" s="8"/>
      <c r="L10" s="8"/>
      <c r="M10" s="11">
        <f t="shared" si="1"/>
        <v>-1162298</v>
      </c>
    </row>
    <row r="11" spans="1:13" x14ac:dyDescent="0.35">
      <c r="A11" s="6"/>
      <c r="B11" s="9" t="s">
        <v>31</v>
      </c>
      <c r="C11" s="23"/>
      <c r="D11" s="8"/>
      <c r="E11" s="8">
        <v>600000</v>
      </c>
      <c r="F11" s="8"/>
      <c r="G11" s="8">
        <v>195000</v>
      </c>
      <c r="H11" s="8"/>
      <c r="I11" s="8"/>
      <c r="J11" s="8"/>
      <c r="K11" s="8"/>
      <c r="L11" s="8"/>
      <c r="M11" s="11">
        <f t="shared" ref="M11:M25" si="2">-SUM(C11:L11)</f>
        <v>-795000</v>
      </c>
    </row>
    <row r="12" spans="1:13" x14ac:dyDescent="0.35">
      <c r="A12" s="6"/>
      <c r="B12" s="9" t="s">
        <v>32</v>
      </c>
      <c r="C12" s="23"/>
      <c r="D12" s="8"/>
      <c r="E12" s="8">
        <v>15000</v>
      </c>
      <c r="F12" s="8">
        <v>35000</v>
      </c>
      <c r="G12" s="8"/>
      <c r="H12" s="8"/>
      <c r="I12" s="8"/>
      <c r="J12" s="8"/>
      <c r="K12" s="8"/>
      <c r="L12" s="8"/>
      <c r="M12" s="11">
        <f t="shared" si="2"/>
        <v>-50000</v>
      </c>
    </row>
    <row r="13" spans="1:13" x14ac:dyDescent="0.35">
      <c r="A13" s="6"/>
      <c r="B13" s="9" t="s">
        <v>10</v>
      </c>
      <c r="C13" s="23"/>
      <c r="D13" s="8"/>
      <c r="E13" s="8"/>
      <c r="F13" s="8"/>
      <c r="G13" s="8"/>
      <c r="H13" s="8">
        <v>50000</v>
      </c>
      <c r="I13" s="8">
        <v>50000</v>
      </c>
      <c r="J13" s="8"/>
      <c r="K13" s="8">
        <v>33000</v>
      </c>
      <c r="L13" s="8"/>
      <c r="M13" s="11">
        <f t="shared" si="2"/>
        <v>-133000</v>
      </c>
    </row>
    <row r="14" spans="1:13" x14ac:dyDescent="0.35">
      <c r="A14" s="6"/>
      <c r="B14" s="9" t="s">
        <v>25</v>
      </c>
      <c r="C14" s="23"/>
      <c r="D14" s="8"/>
      <c r="E14" s="8"/>
      <c r="F14" s="8"/>
      <c r="G14" s="8"/>
      <c r="H14" s="8"/>
      <c r="I14" s="8"/>
      <c r="J14" s="8"/>
      <c r="K14" s="8">
        <v>5000</v>
      </c>
      <c r="L14" s="8"/>
      <c r="M14" s="11">
        <f t="shared" si="2"/>
        <v>-5000</v>
      </c>
    </row>
    <row r="15" spans="1:13" x14ac:dyDescent="0.35">
      <c r="A15" s="6"/>
      <c r="B15" s="9" t="s">
        <v>5</v>
      </c>
      <c r="C15" s="23"/>
      <c r="D15" s="8"/>
      <c r="E15" s="8"/>
      <c r="F15" s="8"/>
      <c r="G15" s="8"/>
      <c r="H15" s="8"/>
      <c r="I15" s="8"/>
      <c r="J15" s="8"/>
      <c r="K15" s="8"/>
      <c r="L15" s="8"/>
      <c r="M15" s="11">
        <f t="shared" si="2"/>
        <v>0</v>
      </c>
    </row>
    <row r="16" spans="1:13" x14ac:dyDescent="0.35">
      <c r="A16" s="6"/>
      <c r="B16" s="9" t="s">
        <v>6</v>
      </c>
      <c r="C16" s="23"/>
      <c r="D16" s="8"/>
      <c r="E16" s="8"/>
      <c r="F16" s="8"/>
      <c r="G16" s="8"/>
      <c r="H16" s="8"/>
      <c r="I16" s="8"/>
      <c r="J16" s="8"/>
      <c r="K16" s="8"/>
      <c r="L16" s="8"/>
      <c r="M16" s="11">
        <f t="shared" si="2"/>
        <v>0</v>
      </c>
    </row>
    <row r="17" spans="1:14" x14ac:dyDescent="0.35">
      <c r="A17" s="6"/>
      <c r="B17" s="9" t="s">
        <v>7</v>
      </c>
      <c r="C17" s="23"/>
      <c r="D17" s="8"/>
      <c r="E17" s="8"/>
      <c r="F17" s="8"/>
      <c r="G17" s="8"/>
      <c r="H17" s="8"/>
      <c r="I17" s="8"/>
      <c r="J17" s="8"/>
      <c r="K17" s="8"/>
      <c r="L17" s="8"/>
      <c r="M17" s="11">
        <f t="shared" si="2"/>
        <v>0</v>
      </c>
    </row>
    <row r="18" spans="1:14" x14ac:dyDescent="0.35">
      <c r="A18" s="6"/>
      <c r="B18" s="9" t="s">
        <v>8</v>
      </c>
      <c r="C18" s="23"/>
      <c r="D18" s="8"/>
      <c r="E18" s="8"/>
      <c r="F18" s="8"/>
      <c r="G18" s="8"/>
      <c r="H18" s="8"/>
      <c r="I18" s="8"/>
      <c r="J18" s="8"/>
      <c r="K18" s="8"/>
      <c r="L18" s="8"/>
      <c r="M18" s="11">
        <f t="shared" si="2"/>
        <v>0</v>
      </c>
    </row>
    <row r="19" spans="1:14" x14ac:dyDescent="0.35">
      <c r="A19" s="6"/>
      <c r="B19" s="9" t="s">
        <v>17</v>
      </c>
      <c r="C19" s="23"/>
      <c r="D19" s="8">
        <v>0</v>
      </c>
      <c r="E19" s="8"/>
      <c r="F19" s="8"/>
      <c r="G19" s="8"/>
      <c r="H19" s="8"/>
      <c r="I19" s="8"/>
      <c r="J19" s="8"/>
      <c r="K19" s="8"/>
      <c r="L19" s="8"/>
      <c r="M19" s="11">
        <f t="shared" si="2"/>
        <v>0</v>
      </c>
    </row>
    <row r="20" spans="1:14" x14ac:dyDescent="0.35">
      <c r="A20" s="6"/>
      <c r="B20" s="9" t="s">
        <v>9</v>
      </c>
      <c r="C20" s="23"/>
      <c r="D20" s="8"/>
      <c r="E20" s="8"/>
      <c r="F20" s="8"/>
      <c r="G20" s="8"/>
      <c r="H20" s="8"/>
      <c r="I20" s="8"/>
      <c r="J20" s="8"/>
      <c r="K20" s="8"/>
      <c r="L20" s="8"/>
      <c r="M20" s="11">
        <f t="shared" si="2"/>
        <v>0</v>
      </c>
    </row>
    <row r="21" spans="1:14" x14ac:dyDescent="0.35">
      <c r="A21" s="6"/>
      <c r="B21" s="12" t="s">
        <v>16</v>
      </c>
      <c r="C21" s="23"/>
      <c r="D21" s="8"/>
      <c r="E21" s="8"/>
      <c r="F21" s="8"/>
      <c r="G21" s="8"/>
      <c r="H21" s="8">
        <v>10000</v>
      </c>
      <c r="I21" s="8">
        <v>10000</v>
      </c>
      <c r="J21" s="8"/>
      <c r="K21" s="8"/>
      <c r="L21" s="8"/>
      <c r="M21" s="11">
        <f t="shared" si="2"/>
        <v>-20000</v>
      </c>
    </row>
    <row r="22" spans="1:14" x14ac:dyDescent="0.35">
      <c r="A22" s="6"/>
      <c r="B22" s="9" t="s">
        <v>29</v>
      </c>
      <c r="C22" s="23"/>
      <c r="D22" s="8">
        <v>30613</v>
      </c>
      <c r="E22" s="8"/>
      <c r="F22" s="8"/>
      <c r="G22" s="8"/>
      <c r="H22" s="8"/>
      <c r="I22" s="8"/>
      <c r="J22" s="8"/>
      <c r="K22" s="8"/>
      <c r="L22" s="8"/>
      <c r="M22" s="11">
        <f t="shared" si="2"/>
        <v>-30613</v>
      </c>
    </row>
    <row r="23" spans="1:14" x14ac:dyDescent="0.35">
      <c r="A23" s="6"/>
      <c r="B23" s="9" t="s">
        <v>30</v>
      </c>
      <c r="C23" s="23"/>
      <c r="D23" s="8"/>
      <c r="E23" s="8"/>
      <c r="F23" s="8"/>
      <c r="G23" s="8"/>
      <c r="H23" s="8">
        <v>7543</v>
      </c>
      <c r="I23" s="8"/>
      <c r="J23" s="8"/>
      <c r="K23" s="8"/>
      <c r="L23" s="8"/>
      <c r="M23" s="11">
        <f t="shared" si="2"/>
        <v>-7543</v>
      </c>
    </row>
    <row r="24" spans="1:14" x14ac:dyDescent="0.35">
      <c r="A24" s="6"/>
      <c r="B24" s="9" t="s">
        <v>40</v>
      </c>
      <c r="C24" s="23"/>
      <c r="D24" s="8">
        <v>28741</v>
      </c>
      <c r="E24" s="8"/>
      <c r="F24" s="8"/>
      <c r="G24" s="8"/>
      <c r="H24" s="8"/>
      <c r="I24" s="8"/>
      <c r="J24" s="8"/>
      <c r="K24" s="8"/>
      <c r="L24" s="8"/>
      <c r="M24" s="11">
        <f t="shared" si="2"/>
        <v>-28741</v>
      </c>
    </row>
    <row r="25" spans="1:14" x14ac:dyDescent="0.35">
      <c r="A25" s="6"/>
      <c r="B25" s="9" t="s">
        <v>11</v>
      </c>
      <c r="C25" s="24"/>
      <c r="D25" s="8"/>
      <c r="E25" s="9"/>
      <c r="F25" s="9"/>
      <c r="G25" s="9"/>
      <c r="H25" s="9"/>
      <c r="I25" s="9"/>
      <c r="J25" s="9"/>
      <c r="K25" s="9"/>
      <c r="L25" s="9"/>
      <c r="M25" s="11">
        <f t="shared" si="2"/>
        <v>0</v>
      </c>
    </row>
    <row r="26" spans="1:14" x14ac:dyDescent="0.35">
      <c r="A26" s="13"/>
      <c r="B26" s="14"/>
      <c r="C26" s="25"/>
      <c r="D26" s="25"/>
      <c r="E26" s="14"/>
      <c r="F26" s="14"/>
      <c r="G26" s="14"/>
      <c r="H26" s="14"/>
      <c r="I26" s="14"/>
      <c r="J26" s="14"/>
      <c r="K26" s="14"/>
      <c r="L26" s="14"/>
      <c r="M26" s="15"/>
    </row>
    <row r="27" spans="1:14" ht="15" thickBot="1" x14ac:dyDescent="0.4">
      <c r="A27" s="22"/>
      <c r="B27" s="17" t="s">
        <v>26</v>
      </c>
      <c r="C27" s="26">
        <f>SUM(C5:C26)</f>
        <v>2838470</v>
      </c>
      <c r="D27" s="26">
        <f>SUM(D10:D26)</f>
        <v>1221652</v>
      </c>
      <c r="E27" s="18">
        <f>SUM(E11:E26)</f>
        <v>615000</v>
      </c>
      <c r="F27" s="19"/>
      <c r="G27" s="18">
        <f>SUM(G11:G26)</f>
        <v>195000</v>
      </c>
      <c r="H27" s="18">
        <f>SUM(H6:H26)</f>
        <v>67543</v>
      </c>
      <c r="I27" s="18">
        <f>SUM(I6:I26)</f>
        <v>60000</v>
      </c>
      <c r="J27" s="19"/>
      <c r="K27" s="18">
        <f>SUM(K6:K26)</f>
        <v>38000</v>
      </c>
      <c r="L27" s="18"/>
      <c r="M27" s="20"/>
      <c r="N27" s="21"/>
    </row>
    <row r="28" spans="1:14" ht="19.5" customHeight="1" thickTop="1" thickBot="1" x14ac:dyDescent="0.4">
      <c r="A28" s="28" t="s">
        <v>34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6">
        <f>SUM(M5:M26)</f>
        <v>606275</v>
      </c>
    </row>
  </sheetData>
  <mergeCells count="9">
    <mergeCell ref="B2:B3"/>
    <mergeCell ref="A2:A3"/>
    <mergeCell ref="A28:L28"/>
    <mergeCell ref="A1:M1"/>
    <mergeCell ref="E2:G2"/>
    <mergeCell ref="H2:L2"/>
    <mergeCell ref="M2:M3"/>
    <mergeCell ref="C2:C3"/>
    <mergeCell ref="D2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5" zoomScaleNormal="85" workbookViewId="0">
      <pane ySplit="3" topLeftCell="A4" activePane="bottomLeft" state="frozen"/>
      <selection pane="bottomLeft" activeCell="G13" sqref="G13"/>
    </sheetView>
  </sheetViews>
  <sheetFormatPr defaultRowHeight="14.5" x14ac:dyDescent="0.35"/>
  <cols>
    <col min="1" max="1" width="4.54296875" style="1" customWidth="1"/>
    <col min="2" max="2" width="34.7265625" customWidth="1"/>
    <col min="3" max="12" width="13.26953125" customWidth="1"/>
    <col min="13" max="14" width="14.1796875" customWidth="1"/>
  </cols>
  <sheetData>
    <row r="1" spans="1:13" ht="21" x14ac:dyDescent="0.35">
      <c r="A1" s="30" t="s">
        <v>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14.5" customHeight="1" x14ac:dyDescent="0.35">
      <c r="A2" s="32" t="s">
        <v>0</v>
      </c>
      <c r="B2" s="32" t="s">
        <v>1</v>
      </c>
      <c r="C2" s="32" t="s">
        <v>2</v>
      </c>
      <c r="D2" s="34" t="s">
        <v>33</v>
      </c>
      <c r="E2" s="36" t="s">
        <v>19</v>
      </c>
      <c r="F2" s="37"/>
      <c r="G2" s="38"/>
      <c r="H2" s="36" t="s">
        <v>18</v>
      </c>
      <c r="I2" s="37"/>
      <c r="J2" s="37"/>
      <c r="K2" s="37"/>
      <c r="L2" s="38"/>
      <c r="M2" s="34" t="s">
        <v>27</v>
      </c>
    </row>
    <row r="3" spans="1:13" x14ac:dyDescent="0.35">
      <c r="A3" s="33"/>
      <c r="B3" s="33"/>
      <c r="C3" s="33"/>
      <c r="D3" s="35"/>
      <c r="E3" s="2" t="s">
        <v>12</v>
      </c>
      <c r="F3" s="2" t="s">
        <v>13</v>
      </c>
      <c r="G3" s="2" t="s">
        <v>14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35"/>
    </row>
    <row r="4" spans="1:13" x14ac:dyDescent="0.3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1:13" x14ac:dyDescent="0.35">
      <c r="A5" s="6"/>
      <c r="B5" s="7" t="s">
        <v>35</v>
      </c>
      <c r="C5" s="27">
        <v>290970</v>
      </c>
      <c r="D5" s="8"/>
      <c r="E5" s="9"/>
      <c r="F5" s="9"/>
      <c r="G5" s="9"/>
      <c r="H5" s="9"/>
      <c r="I5" s="9"/>
      <c r="J5" s="9"/>
      <c r="K5" s="9"/>
      <c r="L5" s="9"/>
      <c r="M5" s="10">
        <f>SUM(C5:L5)</f>
        <v>290970</v>
      </c>
    </row>
    <row r="6" spans="1:13" x14ac:dyDescent="0.35">
      <c r="A6" s="6">
        <v>1</v>
      </c>
      <c r="B6" s="9" t="s">
        <v>28</v>
      </c>
      <c r="C6" s="27">
        <v>2000000</v>
      </c>
      <c r="D6" s="8"/>
      <c r="E6" s="8"/>
      <c r="F6" s="8"/>
      <c r="G6" s="8"/>
      <c r="H6" s="8"/>
      <c r="I6" s="8"/>
      <c r="J6" s="8"/>
      <c r="K6" s="8"/>
      <c r="L6" s="8"/>
      <c r="M6" s="10">
        <f>SUM(C6:L6)</f>
        <v>2000000</v>
      </c>
    </row>
    <row r="7" spans="1:13" x14ac:dyDescent="0.35">
      <c r="A7" s="6">
        <v>2</v>
      </c>
      <c r="B7" s="9" t="s">
        <v>3</v>
      </c>
      <c r="C7" s="27">
        <v>610000</v>
      </c>
      <c r="D7" s="8"/>
      <c r="E7" s="8"/>
      <c r="F7" s="8"/>
      <c r="G7" s="8"/>
      <c r="H7" s="8"/>
      <c r="I7" s="8"/>
      <c r="J7" s="8"/>
      <c r="K7" s="8"/>
      <c r="L7" s="8"/>
      <c r="M7" s="10">
        <f t="shared" ref="M7:M8" si="0">SUM(C7:L7)</f>
        <v>610000</v>
      </c>
    </row>
    <row r="8" spans="1:13" x14ac:dyDescent="0.35">
      <c r="A8" s="6">
        <v>3</v>
      </c>
      <c r="B8" s="9" t="s">
        <v>4</v>
      </c>
      <c r="C8" s="27">
        <v>638475</v>
      </c>
      <c r="D8" s="8"/>
      <c r="E8" s="8"/>
      <c r="F8" s="8"/>
      <c r="G8" s="8"/>
      <c r="H8" s="8"/>
      <c r="I8" s="8"/>
      <c r="J8" s="8"/>
      <c r="K8" s="8"/>
      <c r="L8" s="8"/>
      <c r="M8" s="10">
        <f t="shared" si="0"/>
        <v>638475</v>
      </c>
    </row>
    <row r="9" spans="1:13" x14ac:dyDescent="0.35">
      <c r="A9" s="6"/>
      <c r="B9" s="9"/>
      <c r="C9" s="27"/>
      <c r="D9" s="8"/>
      <c r="E9" s="8"/>
      <c r="F9" s="8"/>
      <c r="G9" s="8"/>
      <c r="H9" s="8"/>
      <c r="I9" s="8"/>
      <c r="J9" s="8"/>
      <c r="K9" s="8"/>
      <c r="L9" s="8"/>
      <c r="M9" s="11">
        <f t="shared" ref="M9:M10" si="1">-SUM(C9:L9)</f>
        <v>0</v>
      </c>
    </row>
    <row r="10" spans="1:13" x14ac:dyDescent="0.35">
      <c r="A10" s="6"/>
      <c r="B10" s="9" t="s">
        <v>15</v>
      </c>
      <c r="C10" s="23"/>
      <c r="D10" s="8"/>
      <c r="E10" s="8">
        <f>'[1]JULY-25 '!$I$57</f>
        <v>1436977.32</v>
      </c>
      <c r="F10" s="8"/>
      <c r="G10" s="8"/>
      <c r="H10" s="8"/>
      <c r="I10" s="8"/>
      <c r="J10" s="8"/>
      <c r="K10" s="8"/>
      <c r="L10" s="8"/>
      <c r="M10" s="11">
        <f t="shared" si="1"/>
        <v>-1436977.32</v>
      </c>
    </row>
    <row r="11" spans="1:13" x14ac:dyDescent="0.35">
      <c r="A11" s="6"/>
      <c r="B11" s="9" t="s">
        <v>31</v>
      </c>
      <c r="C11" s="23"/>
      <c r="D11" s="8"/>
      <c r="E11" s="8"/>
      <c r="F11" s="8"/>
      <c r="G11" s="8"/>
      <c r="H11" s="8"/>
      <c r="I11" s="8"/>
      <c r="J11" s="8"/>
      <c r="K11" s="8"/>
      <c r="L11" s="8"/>
      <c r="M11" s="11">
        <f t="shared" ref="M11:M25" si="2">-SUM(C11:L11)</f>
        <v>0</v>
      </c>
    </row>
    <row r="12" spans="1:13" x14ac:dyDescent="0.35">
      <c r="A12" s="6"/>
      <c r="B12" s="9" t="s">
        <v>32</v>
      </c>
      <c r="C12" s="23"/>
      <c r="D12" s="8"/>
      <c r="E12" s="8"/>
      <c r="F12" s="8">
        <v>25000</v>
      </c>
      <c r="G12" s="8"/>
      <c r="H12" s="8"/>
      <c r="I12" s="8"/>
      <c r="J12" s="8"/>
      <c r="K12" s="8"/>
      <c r="L12" s="8"/>
      <c r="M12" s="11">
        <f t="shared" si="2"/>
        <v>-25000</v>
      </c>
    </row>
    <row r="13" spans="1:13" x14ac:dyDescent="0.35">
      <c r="A13" s="6"/>
      <c r="B13" s="9" t="s">
        <v>10</v>
      </c>
      <c r="C13" s="23"/>
      <c r="D13" s="8"/>
      <c r="E13" s="8"/>
      <c r="F13" s="8"/>
      <c r="G13" s="8"/>
      <c r="H13" s="8">
        <v>25000</v>
      </c>
      <c r="I13" s="8">
        <v>50000</v>
      </c>
      <c r="J13" s="8"/>
      <c r="K13" s="8">
        <v>33000</v>
      </c>
      <c r="L13" s="8"/>
      <c r="M13" s="11">
        <f t="shared" si="2"/>
        <v>-108000</v>
      </c>
    </row>
    <row r="14" spans="1:13" x14ac:dyDescent="0.35">
      <c r="A14" s="6"/>
      <c r="B14" s="9" t="s">
        <v>25</v>
      </c>
      <c r="C14" s="23"/>
      <c r="D14" s="8"/>
      <c r="E14" s="8"/>
      <c r="F14" s="8"/>
      <c r="G14" s="8"/>
      <c r="H14" s="8"/>
      <c r="I14" s="8"/>
      <c r="J14" s="8"/>
      <c r="K14" s="8"/>
      <c r="L14" s="8"/>
      <c r="M14" s="11">
        <f t="shared" si="2"/>
        <v>0</v>
      </c>
    </row>
    <row r="15" spans="1:13" x14ac:dyDescent="0.35">
      <c r="A15" s="6"/>
      <c r="B15" s="9" t="s">
        <v>5</v>
      </c>
      <c r="C15" s="23"/>
      <c r="D15" s="8"/>
      <c r="E15" s="8"/>
      <c r="F15" s="8"/>
      <c r="G15" s="8"/>
      <c r="H15" s="8"/>
      <c r="I15" s="8"/>
      <c r="J15" s="8"/>
      <c r="K15" s="8"/>
      <c r="L15" s="8"/>
      <c r="M15" s="11">
        <f t="shared" si="2"/>
        <v>0</v>
      </c>
    </row>
    <row r="16" spans="1:13" x14ac:dyDescent="0.35">
      <c r="A16" s="6"/>
      <c r="B16" s="9" t="s">
        <v>6</v>
      </c>
      <c r="C16" s="23"/>
      <c r="D16" s="8"/>
      <c r="E16" s="8"/>
      <c r="F16" s="8"/>
      <c r="G16" s="8"/>
      <c r="H16" s="8"/>
      <c r="I16" s="8"/>
      <c r="J16" s="8"/>
      <c r="K16" s="8"/>
      <c r="L16" s="8"/>
      <c r="M16" s="11">
        <f t="shared" si="2"/>
        <v>0</v>
      </c>
    </row>
    <row r="17" spans="1:14" x14ac:dyDescent="0.35">
      <c r="A17" s="6"/>
      <c r="B17" s="9" t="s">
        <v>7</v>
      </c>
      <c r="C17" s="23"/>
      <c r="D17" s="8"/>
      <c r="E17" s="8"/>
      <c r="F17" s="8"/>
      <c r="G17" s="8"/>
      <c r="H17" s="8"/>
      <c r="I17" s="8"/>
      <c r="J17" s="8"/>
      <c r="K17" s="8"/>
      <c r="L17" s="8"/>
      <c r="M17" s="11">
        <f t="shared" si="2"/>
        <v>0</v>
      </c>
    </row>
    <row r="18" spans="1:14" x14ac:dyDescent="0.35">
      <c r="A18" s="6"/>
      <c r="B18" s="9" t="s">
        <v>8</v>
      </c>
      <c r="C18" s="23"/>
      <c r="D18" s="8"/>
      <c r="E18" s="8"/>
      <c r="F18" s="8"/>
      <c r="G18" s="8"/>
      <c r="H18" s="8"/>
      <c r="I18" s="8"/>
      <c r="J18" s="8"/>
      <c r="K18" s="8"/>
      <c r="L18" s="8"/>
      <c r="M18" s="11">
        <f t="shared" si="2"/>
        <v>0</v>
      </c>
    </row>
    <row r="19" spans="1:14" x14ac:dyDescent="0.35">
      <c r="A19" s="6"/>
      <c r="B19" s="9" t="s">
        <v>17</v>
      </c>
      <c r="C19" s="23"/>
      <c r="D19" s="8"/>
      <c r="E19" s="8"/>
      <c r="F19" s="8"/>
      <c r="G19" s="8"/>
      <c r="H19" s="8"/>
      <c r="I19" s="8"/>
      <c r="J19" s="8"/>
      <c r="K19" s="8"/>
      <c r="L19" s="8"/>
      <c r="M19" s="11">
        <f t="shared" si="2"/>
        <v>0</v>
      </c>
    </row>
    <row r="20" spans="1:14" x14ac:dyDescent="0.35">
      <c r="A20" s="6"/>
      <c r="B20" s="9" t="s">
        <v>9</v>
      </c>
      <c r="C20" s="23"/>
      <c r="D20" s="8"/>
      <c r="E20" s="8"/>
      <c r="F20" s="8"/>
      <c r="G20" s="8"/>
      <c r="H20" s="8"/>
      <c r="I20" s="8"/>
      <c r="J20" s="8"/>
      <c r="K20" s="8"/>
      <c r="L20" s="8"/>
      <c r="M20" s="11">
        <f t="shared" si="2"/>
        <v>0</v>
      </c>
    </row>
    <row r="21" spans="1:14" x14ac:dyDescent="0.35">
      <c r="A21" s="6"/>
      <c r="B21" s="12" t="s">
        <v>16</v>
      </c>
      <c r="C21" s="23"/>
      <c r="D21" s="8"/>
      <c r="E21" s="8"/>
      <c r="F21" s="8"/>
      <c r="G21" s="8"/>
      <c r="H21" s="8"/>
      <c r="I21" s="8"/>
      <c r="J21" s="8"/>
      <c r="K21" s="8"/>
      <c r="L21" s="8"/>
      <c r="M21" s="11">
        <f t="shared" si="2"/>
        <v>0</v>
      </c>
    </row>
    <row r="22" spans="1:14" x14ac:dyDescent="0.35">
      <c r="A22" s="6"/>
      <c r="B22" s="9" t="s">
        <v>29</v>
      </c>
      <c r="C22" s="23"/>
      <c r="D22" s="8"/>
      <c r="E22" s="8"/>
      <c r="F22" s="8"/>
      <c r="G22" s="8"/>
      <c r="H22" s="8"/>
      <c r="I22" s="8"/>
      <c r="J22" s="8"/>
      <c r="K22" s="8"/>
      <c r="L22" s="8"/>
      <c r="M22" s="11">
        <f t="shared" si="2"/>
        <v>0</v>
      </c>
    </row>
    <row r="23" spans="1:14" x14ac:dyDescent="0.35">
      <c r="A23" s="6"/>
      <c r="B23" s="9" t="s">
        <v>30</v>
      </c>
      <c r="C23" s="23"/>
      <c r="D23" s="8"/>
      <c r="E23" s="8"/>
      <c r="F23" s="8"/>
      <c r="G23" s="8"/>
      <c r="H23" s="8"/>
      <c r="I23" s="8"/>
      <c r="J23" s="8"/>
      <c r="K23" s="8"/>
      <c r="L23" s="8"/>
      <c r="M23" s="11">
        <f t="shared" si="2"/>
        <v>0</v>
      </c>
    </row>
    <row r="24" spans="1:14" x14ac:dyDescent="0.35">
      <c r="A24" s="6"/>
      <c r="B24" s="9" t="s">
        <v>11</v>
      </c>
      <c r="C24" s="23"/>
      <c r="D24" s="8"/>
      <c r="E24" s="8"/>
      <c r="F24" s="8"/>
      <c r="G24" s="8"/>
      <c r="H24" s="8"/>
      <c r="I24" s="8"/>
      <c r="J24" s="8"/>
      <c r="K24" s="8"/>
      <c r="L24" s="8"/>
      <c r="M24" s="11">
        <f t="shared" si="2"/>
        <v>0</v>
      </c>
    </row>
    <row r="25" spans="1:14" x14ac:dyDescent="0.35">
      <c r="A25" s="6"/>
      <c r="B25" s="9"/>
      <c r="C25" s="24"/>
      <c r="D25" s="8"/>
      <c r="E25" s="9"/>
      <c r="F25" s="9"/>
      <c r="G25" s="9"/>
      <c r="H25" s="9"/>
      <c r="I25" s="9"/>
      <c r="J25" s="9"/>
      <c r="K25" s="9"/>
      <c r="L25" s="9"/>
      <c r="M25" s="11">
        <f t="shared" si="2"/>
        <v>0</v>
      </c>
    </row>
    <row r="26" spans="1:14" x14ac:dyDescent="0.35">
      <c r="A26" s="13"/>
      <c r="B26" s="14"/>
      <c r="C26" s="25"/>
      <c r="D26" s="25"/>
      <c r="E26" s="14"/>
      <c r="F26" s="14"/>
      <c r="G26" s="14"/>
      <c r="H26" s="14"/>
      <c r="I26" s="14"/>
      <c r="J26" s="14"/>
      <c r="K26" s="14"/>
      <c r="L26" s="14"/>
      <c r="M26" s="15"/>
    </row>
    <row r="27" spans="1:14" ht="15" thickBot="1" x14ac:dyDescent="0.4">
      <c r="A27" s="22"/>
      <c r="B27" s="17" t="s">
        <v>26</v>
      </c>
      <c r="C27" s="26">
        <f>SUM(C5:C26)</f>
        <v>3539445</v>
      </c>
      <c r="D27" s="26">
        <f>SUM(D10:D26)</f>
        <v>0</v>
      </c>
      <c r="E27" s="18">
        <f>SUM(E11:E26)</f>
        <v>0</v>
      </c>
      <c r="F27" s="19"/>
      <c r="G27" s="18">
        <f>SUM(G11:G26)</f>
        <v>0</v>
      </c>
      <c r="H27" s="18">
        <f>SUM(H6:H26)</f>
        <v>25000</v>
      </c>
      <c r="I27" s="18">
        <f>SUM(I6:I26)</f>
        <v>50000</v>
      </c>
      <c r="J27" s="19"/>
      <c r="K27" s="18">
        <f>SUM(K6:K26)</f>
        <v>33000</v>
      </c>
      <c r="L27" s="18"/>
      <c r="M27" s="20"/>
      <c r="N27" s="21"/>
    </row>
    <row r="28" spans="1:14" ht="19.5" customHeight="1" thickTop="1" thickBot="1" x14ac:dyDescent="0.4">
      <c r="A28" s="28" t="s">
        <v>34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16">
        <f>SUM(M5:M26)</f>
        <v>1969467.6799999997</v>
      </c>
    </row>
  </sheetData>
  <mergeCells count="9">
    <mergeCell ref="A28:L28"/>
    <mergeCell ref="A1:M1"/>
    <mergeCell ref="A2:A3"/>
    <mergeCell ref="B2:B3"/>
    <mergeCell ref="C2:C3"/>
    <mergeCell ref="D2:D3"/>
    <mergeCell ref="E2:G2"/>
    <mergeCell ref="H2:L2"/>
    <mergeCell ref="M2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MAY-25 </vt:lpstr>
      <vt:lpstr>JUNE-25</vt:lpstr>
      <vt:lpstr>JUNE-25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2025-07-09T05:45:18Z</dcterms:modified>
</cp:coreProperties>
</file>